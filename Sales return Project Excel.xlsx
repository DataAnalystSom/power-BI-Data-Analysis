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f631be48ebe91b94/Documents/Date analysis/Excel/Assigment Excel/"/>
    </mc:Choice>
  </mc:AlternateContent>
  <xr:revisionPtr revIDLastSave="1" documentId="13_ncr:1_{74E34382-B61C-47A3-93FA-9CF21D88C53B}" xr6:coauthVersionLast="47" xr6:coauthVersionMax="47" xr10:uidLastSave="{82B715CF-CC2A-4F69-A3A0-512E497D271A}"/>
  <bookViews>
    <workbookView xWindow="-110" yWindow="-110" windowWidth="19420" windowHeight="11020" activeTab="2" xr2:uid="{BFF16DAD-92A0-4D60-8A44-3042B1592EE6}"/>
  </bookViews>
  <sheets>
    <sheet name="Dataset" sheetId="1" r:id="rId1"/>
    <sheet name="Pivot taple" sheetId="4" r:id="rId2"/>
    <sheet name="Dashboard" sheetId="7" r:id="rId3"/>
  </sheets>
  <definedNames>
    <definedName name="Slicer_Region">#N/A</definedName>
    <definedName name="Slicer_Sales_Rep">#N/A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4" l="1"/>
  <c r="A13" i="4"/>
  <c r="B8" i="4"/>
  <c r="O4" i="1" l="1"/>
  <c r="M4" i="1"/>
  <c r="O41" i="1"/>
  <c r="N41" i="1"/>
  <c r="M41" i="1"/>
  <c r="M40" i="1"/>
  <c r="N39" i="1"/>
  <c r="O39" i="1" s="1"/>
  <c r="M39" i="1"/>
  <c r="M38" i="1"/>
  <c r="N37" i="1"/>
  <c r="M37" i="1"/>
  <c r="O37" i="1" s="1"/>
  <c r="M36" i="1"/>
  <c r="N36" i="1" s="1"/>
  <c r="O36" i="1" s="1"/>
  <c r="N35" i="1"/>
  <c r="M35" i="1"/>
  <c r="O35" i="1" s="1"/>
  <c r="M34" i="1"/>
  <c r="O33" i="1"/>
  <c r="N33" i="1"/>
  <c r="M33" i="1"/>
  <c r="O32" i="1"/>
  <c r="N32" i="1"/>
  <c r="M32" i="1"/>
  <c r="N31" i="1"/>
  <c r="O31" i="1" s="1"/>
  <c r="M31" i="1"/>
  <c r="M30" i="1"/>
  <c r="N29" i="1"/>
  <c r="M29" i="1"/>
  <c r="O29" i="1" s="1"/>
  <c r="O28" i="1"/>
  <c r="N28" i="1"/>
  <c r="M28" i="1"/>
  <c r="N27" i="1"/>
  <c r="M27" i="1"/>
  <c r="O27" i="1" s="1"/>
  <c r="M26" i="1"/>
  <c r="O25" i="1"/>
  <c r="N25" i="1"/>
  <c r="M25" i="1"/>
  <c r="M24" i="1"/>
  <c r="N23" i="1"/>
  <c r="O23" i="1" s="1"/>
  <c r="M23" i="1"/>
  <c r="O22" i="1"/>
  <c r="N22" i="1"/>
  <c r="M22" i="1"/>
  <c r="N21" i="1"/>
  <c r="M21" i="1"/>
  <c r="O21" i="1" s="1"/>
  <c r="O20" i="1"/>
  <c r="N20" i="1"/>
  <c r="M20" i="1"/>
  <c r="N19" i="1"/>
  <c r="O19" i="1" s="1"/>
  <c r="M19" i="1"/>
  <c r="O18" i="1"/>
  <c r="N18" i="1"/>
  <c r="M18" i="1"/>
  <c r="M17" i="1"/>
  <c r="M16" i="1"/>
  <c r="N15" i="1"/>
  <c r="O15" i="1" s="1"/>
  <c r="M15" i="1"/>
  <c r="O14" i="1"/>
  <c r="N14" i="1"/>
  <c r="M14" i="1"/>
  <c r="N13" i="1"/>
  <c r="M13" i="1"/>
  <c r="O13" i="1" s="1"/>
  <c r="O12" i="1"/>
  <c r="N12" i="1"/>
  <c r="M12" i="1"/>
  <c r="N11" i="1"/>
  <c r="O11" i="1" s="1"/>
  <c r="M11" i="1"/>
  <c r="O10" i="1"/>
  <c r="N10" i="1"/>
  <c r="M10" i="1"/>
  <c r="M9" i="1"/>
  <c r="O8" i="1"/>
  <c r="N8" i="1"/>
  <c r="M8" i="1"/>
  <c r="O7" i="1"/>
  <c r="N7" i="1"/>
  <c r="M7" i="1"/>
  <c r="O6" i="1"/>
  <c r="N6" i="1"/>
  <c r="M6" i="1"/>
  <c r="O5" i="1"/>
  <c r="N5" i="1"/>
  <c r="M5" i="1"/>
  <c r="N4" i="1"/>
  <c r="N3" i="1"/>
  <c r="O3" i="1" s="1"/>
  <c r="M3" i="1"/>
  <c r="O2" i="1"/>
  <c r="N2" i="1"/>
  <c r="M2" i="1"/>
  <c r="O9" i="1" l="1"/>
  <c r="O16" i="1"/>
  <c r="O26" i="1"/>
  <c r="O24" i="1"/>
  <c r="N26" i="1"/>
  <c r="N34" i="1"/>
  <c r="O34" i="1" s="1"/>
  <c r="N16" i="1"/>
  <c r="N24" i="1"/>
  <c r="N40" i="1"/>
  <c r="O40" i="1" s="1"/>
  <c r="N30" i="1"/>
  <c r="O30" i="1" s="1"/>
  <c r="N38" i="1"/>
  <c r="O38" i="1" s="1"/>
  <c r="N9" i="1"/>
  <c r="N17" i="1"/>
  <c r="O17" i="1" s="1"/>
</calcChain>
</file>

<file path=xl/sharedStrings.xml><?xml version="1.0" encoding="utf-8"?>
<sst xmlns="http://schemas.openxmlformats.org/spreadsheetml/2006/main" count="415" uniqueCount="148">
  <si>
    <t>Return ID</t>
  </si>
  <si>
    <t>Order ID</t>
  </si>
  <si>
    <t>Return Date</t>
  </si>
  <si>
    <t>Product</t>
  </si>
  <si>
    <t>Category</t>
  </si>
  <si>
    <t>Region</t>
  </si>
  <si>
    <t>Sales Rep</t>
  </si>
  <si>
    <t>Quantity Sold</t>
  </si>
  <si>
    <t>Quantity Returned</t>
  </si>
  <si>
    <t>Unit Price</t>
  </si>
  <si>
    <t>Return Reason</t>
  </si>
  <si>
    <t>Return Status</t>
  </si>
  <si>
    <t>Refund Amount</t>
  </si>
  <si>
    <t>Restocking Fee</t>
  </si>
  <si>
    <t>Net Refund</t>
  </si>
  <si>
    <t>Customer Feedback</t>
  </si>
  <si>
    <t>RET-3001</t>
  </si>
  <si>
    <t>ORD-1087</t>
  </si>
  <si>
    <t>School Bag</t>
  </si>
  <si>
    <t>Accessories</t>
  </si>
  <si>
    <t>Banadir</t>
  </si>
  <si>
    <t>Omar</t>
  </si>
  <si>
    <t>Late Delivery</t>
  </si>
  <si>
    <t>Rejected</t>
  </si>
  <si>
    <t>Delivery arrived too late</t>
  </si>
  <si>
    <t>RET-3002</t>
  </si>
  <si>
    <t>ORD-1088</t>
  </si>
  <si>
    <t>Ball Pen</t>
  </si>
  <si>
    <t>Stationery</t>
  </si>
  <si>
    <t>Kismayo</t>
  </si>
  <si>
    <t>Hassan</t>
  </si>
  <si>
    <t>Wrong Product</t>
  </si>
  <si>
    <t>Approved</t>
  </si>
  <si>
    <t>Incorrect item received</t>
  </si>
  <si>
    <t>RET-3003</t>
  </si>
  <si>
    <t>ORD-1015</t>
  </si>
  <si>
    <t>Desk Chair</t>
  </si>
  <si>
    <t>Furniture</t>
  </si>
  <si>
    <t>Garowe</t>
  </si>
  <si>
    <t>Samira</t>
  </si>
  <si>
    <t>Quality Issue</t>
  </si>
  <si>
    <t>Product quality below expectation</t>
  </si>
  <si>
    <t>RET-3004</t>
  </si>
  <si>
    <t>ORD-1055</t>
  </si>
  <si>
    <t>Projector</t>
  </si>
  <si>
    <t>Electronics</t>
  </si>
  <si>
    <t>Baidoa</t>
  </si>
  <si>
    <t>RET-3005</t>
  </si>
  <si>
    <t>ORD-1068</t>
  </si>
  <si>
    <t>Amina</t>
  </si>
  <si>
    <t>RET-3006</t>
  </si>
  <si>
    <t>ORD-1067</t>
  </si>
  <si>
    <t>Study Desk</t>
  </si>
  <si>
    <t>RET-3007</t>
  </si>
  <si>
    <t>ORD-1085</t>
  </si>
  <si>
    <t>Printer Paper</t>
  </si>
  <si>
    <t>Office Supplies</t>
  </si>
  <si>
    <t>Yusuf</t>
  </si>
  <si>
    <t>RET-3008</t>
  </si>
  <si>
    <t>ORD-1010</t>
  </si>
  <si>
    <t>Notebook</t>
  </si>
  <si>
    <t>Hargeisa</t>
  </si>
  <si>
    <t>RET-3009</t>
  </si>
  <si>
    <t>ORD-1018</t>
  </si>
  <si>
    <t>Customer Changed Mind</t>
  </si>
  <si>
    <t>Pending</t>
  </si>
  <si>
    <t>No longer needed</t>
  </si>
  <si>
    <t>RET-3010</t>
  </si>
  <si>
    <t>ORD-1091</t>
  </si>
  <si>
    <t>RET-3011</t>
  </si>
  <si>
    <t>ORD-1021</t>
  </si>
  <si>
    <t>RET-3012</t>
  </si>
  <si>
    <t>ORD-1012</t>
  </si>
  <si>
    <t>RET-3013</t>
  </si>
  <si>
    <t>ORD-1058</t>
  </si>
  <si>
    <t>Calculator</t>
  </si>
  <si>
    <t>RET-3014</t>
  </si>
  <si>
    <t>ORD-1043</t>
  </si>
  <si>
    <t>RET-3015</t>
  </si>
  <si>
    <t>ORD-1086</t>
  </si>
  <si>
    <t>RET-3016</t>
  </si>
  <si>
    <t>ORD-1011</t>
  </si>
  <si>
    <t>RET-3017</t>
  </si>
  <si>
    <t>ORD-1051</t>
  </si>
  <si>
    <t>RET-3018</t>
  </si>
  <si>
    <t>ORD-1017</t>
  </si>
  <si>
    <t>RET-3019</t>
  </si>
  <si>
    <t>ORD-1073</t>
  </si>
  <si>
    <t>Laptop</t>
  </si>
  <si>
    <t>Muna</t>
  </si>
  <si>
    <t>RET-3020</t>
  </si>
  <si>
    <t>ORD-1063</t>
  </si>
  <si>
    <t>RET-3021</t>
  </si>
  <si>
    <t>ORD-1035</t>
  </si>
  <si>
    <t>RET-3022</t>
  </si>
  <si>
    <t>ORD-1078</t>
  </si>
  <si>
    <t>RET-3023</t>
  </si>
  <si>
    <t>ORD-1071</t>
  </si>
  <si>
    <t>Damaged Item</t>
  </si>
  <si>
    <t>Packaging needs improvement</t>
  </si>
  <si>
    <t>RET-3024</t>
  </si>
  <si>
    <t>ORD-1094</t>
  </si>
  <si>
    <t>RET-3025</t>
  </si>
  <si>
    <t>ORD-1041</t>
  </si>
  <si>
    <t>RET-3026</t>
  </si>
  <si>
    <t>ORD-1031</t>
  </si>
  <si>
    <t>Whiteboard</t>
  </si>
  <si>
    <t>RET-3027</t>
  </si>
  <si>
    <t>ORD-1060</t>
  </si>
  <si>
    <t>RET-3028</t>
  </si>
  <si>
    <t>ORD-1062</t>
  </si>
  <si>
    <t>RET-3029</t>
  </si>
  <si>
    <t>ORD-1072</t>
  </si>
  <si>
    <t>RET-3030</t>
  </si>
  <si>
    <t>ORD-1009</t>
  </si>
  <si>
    <t>RET-3031</t>
  </si>
  <si>
    <t>ORD-1069</t>
  </si>
  <si>
    <t>RET-3032</t>
  </si>
  <si>
    <t>ORD-1037</t>
  </si>
  <si>
    <t>RET-3033</t>
  </si>
  <si>
    <t>ORD-1074</t>
  </si>
  <si>
    <t>RET-3034</t>
  </si>
  <si>
    <t>ORD-1013</t>
  </si>
  <si>
    <t>RET-3035</t>
  </si>
  <si>
    <t>ORD-1092</t>
  </si>
  <si>
    <t>RET-3036</t>
  </si>
  <si>
    <t>ORD-1028</t>
  </si>
  <si>
    <t>RET-3037</t>
  </si>
  <si>
    <t>ORD-1003</t>
  </si>
  <si>
    <t>RET-3038</t>
  </si>
  <si>
    <t>ORD-1025</t>
  </si>
  <si>
    <t>RET-3039</t>
  </si>
  <si>
    <t>ORD-1038</t>
  </si>
  <si>
    <t>RET-3040</t>
  </si>
  <si>
    <t>ORD-1007</t>
  </si>
  <si>
    <t>Total Quantity Returned</t>
  </si>
  <si>
    <t>Approved Return Rate</t>
  </si>
  <si>
    <t>Average Refund per Approved Return</t>
  </si>
  <si>
    <t>Grand Total</t>
  </si>
  <si>
    <t>category</t>
  </si>
  <si>
    <t>region</t>
  </si>
  <si>
    <t>Sum of Quantity Returned</t>
  </si>
  <si>
    <t>Return by reason</t>
  </si>
  <si>
    <t>Count of Return ID</t>
  </si>
  <si>
    <t>Sum of Net Refund</t>
  </si>
  <si>
    <t>=</t>
  </si>
  <si>
    <t>Count of Order ID</t>
  </si>
  <si>
    <t>Total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</si>
</sst>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4">
    <font>
      <sz val="11"/>
      <color theme="1"/>
      <name val="Calibri"/>
      <family val="2"/>
      <scheme val="minor"/>
    </font>
    <font>
      <b/>
      <sz val="11"/>
      <color rgb="FFFFFFFF"/>
      <name val="Carlito"/>
    </font>
    <font>
      <b/>
      <sz val="11"/>
      <color theme="0"/>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theme="3"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1" fillId="2" borderId="0" xfId="0" applyFont="1" applyFill="1" applyAlignment="1">
      <alignment horizontal="center" vertical="center" wrapText="1"/>
    </xf>
    <xf numFmtId="0" fontId="0" fillId="0" borderId="0" xfId="0" applyAlignment="1">
      <alignment vertical="center"/>
    </xf>
    <xf numFmtId="164" fontId="0" fillId="0" borderId="0" xfId="0" applyNumberFormat="1" applyAlignment="1">
      <alignment vertical="center"/>
    </xf>
    <xf numFmtId="1" fontId="0" fillId="0" borderId="0" xfId="0" applyNumberFormat="1" applyAlignment="1">
      <alignment vertical="center"/>
    </xf>
    <xf numFmtId="165" fontId="0" fillId="0" borderId="0" xfId="0" applyNumberFormat="1" applyAlignment="1">
      <alignment vertical="center"/>
    </xf>
    <xf numFmtId="0" fontId="0" fillId="0" borderId="0" xfId="0" applyAlignment="1">
      <alignment vertical="center" wrapText="1"/>
    </xf>
    <xf numFmtId="1"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0" borderId="1" xfId="0" applyBorder="1"/>
    <xf numFmtId="0" fontId="2" fillId="3" borderId="1" xfId="0" applyFont="1" applyFill="1" applyBorder="1"/>
    <xf numFmtId="0" fontId="0" fillId="0" borderId="2" xfId="0" applyBorder="1"/>
    <xf numFmtId="2" fontId="0" fillId="0" borderId="0" xfId="0" applyNumberFormat="1"/>
    <xf numFmtId="9" fontId="0" fillId="0" borderId="0" xfId="0" applyNumberFormat="1"/>
    <xf numFmtId="9" fontId="0" fillId="0" borderId="0" xfId="1" applyFont="1"/>
    <xf numFmtId="0" fontId="0" fillId="0" borderId="0" xfId="1" applyNumberFormat="1" applyFont="1"/>
  </cellXfs>
  <cellStyles count="2">
    <cellStyle name="Normal" xfId="0" builtinId="0"/>
    <cellStyle name="Percent" xfId="1" builtinId="5"/>
  </cellStyles>
  <dxfs count="3">
    <dxf>
      <font>
        <b/>
        <color rgb="FF991B1B"/>
      </font>
      <fill>
        <patternFill patternType="solid">
          <bgColor rgb="FFFECACA"/>
        </patternFill>
      </fill>
    </dxf>
    <dxf>
      <font>
        <b/>
        <color rgb="FF92400E"/>
      </font>
      <fill>
        <patternFill patternType="solid">
          <bgColor rgb="FFFEF3C7"/>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return Project 4 presention.xlsx]Pivot taple!PivotTable1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Return by Reason and Total Quantity Returned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taple'!$F$4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taple'!$E$5:$E$10</c:f>
              <c:strCache>
                <c:ptCount val="5"/>
                <c:pt idx="0">
                  <c:v>Quality Issue</c:v>
                </c:pt>
                <c:pt idx="1">
                  <c:v>Wrong Product</c:v>
                </c:pt>
                <c:pt idx="2">
                  <c:v>Customer Changed Mind</c:v>
                </c:pt>
                <c:pt idx="3">
                  <c:v>Damaged Item</c:v>
                </c:pt>
                <c:pt idx="4">
                  <c:v>Late Delivery</c:v>
                </c:pt>
              </c:strCache>
            </c:strRef>
          </c:cat>
          <c:val>
            <c:numRef>
              <c:f>'Pivot taple'!$F$5:$F$10</c:f>
              <c:numCache>
                <c:formatCode>0</c:formatCode>
                <c:ptCount val="5"/>
                <c:pt idx="0">
                  <c:v>28</c:v>
                </c:pt>
                <c:pt idx="1">
                  <c:v>28</c:v>
                </c:pt>
                <c:pt idx="2">
                  <c:v>25</c:v>
                </c:pt>
                <c:pt idx="3">
                  <c:v>25</c:v>
                </c:pt>
                <c:pt idx="4">
                  <c:v>22</c:v>
                </c:pt>
              </c:numCache>
            </c:numRef>
          </c:val>
          <c:extLst>
            <c:ext xmlns:c16="http://schemas.microsoft.com/office/drawing/2014/chart" uri="{C3380CC4-5D6E-409C-BE32-E72D297353CC}">
              <c16:uniqueId val="{00000000-0F6E-476C-B659-D399244BB07B}"/>
            </c:ext>
          </c:extLst>
        </c:ser>
        <c:dLbls>
          <c:dLblPos val="outEnd"/>
          <c:showLegendKey val="0"/>
          <c:showVal val="1"/>
          <c:showCatName val="0"/>
          <c:showSerName val="0"/>
          <c:showPercent val="0"/>
          <c:showBubbleSize val="0"/>
        </c:dLbls>
        <c:gapWidth val="182"/>
        <c:axId val="2054115887"/>
        <c:axId val="2098115183"/>
      </c:barChart>
      <c:catAx>
        <c:axId val="205411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15183"/>
        <c:crosses val="autoZero"/>
        <c:auto val="1"/>
        <c:lblAlgn val="ctr"/>
        <c:lblOffset val="100"/>
        <c:noMultiLvlLbl val="0"/>
      </c:catAx>
      <c:valAx>
        <c:axId val="20981151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11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return Project 4 presention.xlsx]Pivot taple!PivotTable2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Return Status and Total Count of Return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taple'!$F$20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41-404C-A600-2592055EFF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41-404C-A600-2592055EFF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41-404C-A600-2592055EFF4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taple'!$E$21:$E$24</c:f>
              <c:strCache>
                <c:ptCount val="3"/>
                <c:pt idx="0">
                  <c:v>Approved</c:v>
                </c:pt>
                <c:pt idx="1">
                  <c:v>Rejected</c:v>
                </c:pt>
                <c:pt idx="2">
                  <c:v>Pending</c:v>
                </c:pt>
              </c:strCache>
            </c:strRef>
          </c:cat>
          <c:val>
            <c:numRef>
              <c:f>'Pivot taple'!$F$21:$F$24</c:f>
              <c:numCache>
                <c:formatCode>General</c:formatCode>
                <c:ptCount val="3"/>
                <c:pt idx="0">
                  <c:v>25</c:v>
                </c:pt>
                <c:pt idx="1">
                  <c:v>10</c:v>
                </c:pt>
                <c:pt idx="2">
                  <c:v>5</c:v>
                </c:pt>
              </c:numCache>
            </c:numRef>
          </c:val>
          <c:extLst>
            <c:ext xmlns:c16="http://schemas.microsoft.com/office/drawing/2014/chart" uri="{C3380CC4-5D6E-409C-BE32-E72D297353CC}">
              <c16:uniqueId val="{00000000-0F3C-4FBC-B536-D617D31723D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return Project 4 presention.xlsx]Pivot taple!PivotTable3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and Total Net Refund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taple'!$Q$6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taple'!$P$7:$P$12</c:f>
              <c:strCache>
                <c:ptCount val="5"/>
                <c:pt idx="0">
                  <c:v>Accessories</c:v>
                </c:pt>
                <c:pt idx="1">
                  <c:v>Electronics</c:v>
                </c:pt>
                <c:pt idx="2">
                  <c:v>Furniture</c:v>
                </c:pt>
                <c:pt idx="3">
                  <c:v>Office Supplies</c:v>
                </c:pt>
                <c:pt idx="4">
                  <c:v>Stationery</c:v>
                </c:pt>
              </c:strCache>
            </c:strRef>
          </c:cat>
          <c:val>
            <c:numRef>
              <c:f>'Pivot taple'!$Q$7:$Q$12</c:f>
              <c:numCache>
                <c:formatCode>\$#,##0.00</c:formatCode>
                <c:ptCount val="5"/>
                <c:pt idx="0">
                  <c:v>202.22649999999999</c:v>
                </c:pt>
                <c:pt idx="1">
                  <c:v>3363.5034999999998</c:v>
                </c:pt>
                <c:pt idx="2">
                  <c:v>533.69100000000003</c:v>
                </c:pt>
                <c:pt idx="3">
                  <c:v>454.63200000000006</c:v>
                </c:pt>
                <c:pt idx="4">
                  <c:v>41.676499999999997</c:v>
                </c:pt>
              </c:numCache>
            </c:numRef>
          </c:val>
          <c:extLst>
            <c:ext xmlns:c16="http://schemas.microsoft.com/office/drawing/2014/chart" uri="{C3380CC4-5D6E-409C-BE32-E72D297353CC}">
              <c16:uniqueId val="{00000000-7B21-4006-B231-244E0370B527}"/>
            </c:ext>
          </c:extLst>
        </c:ser>
        <c:dLbls>
          <c:dLblPos val="outEnd"/>
          <c:showLegendKey val="0"/>
          <c:showVal val="1"/>
          <c:showCatName val="0"/>
          <c:showSerName val="0"/>
          <c:showPercent val="0"/>
          <c:showBubbleSize val="0"/>
        </c:dLbls>
        <c:gapWidth val="219"/>
        <c:overlap val="-27"/>
        <c:axId val="2138418431"/>
        <c:axId val="2098058543"/>
      </c:barChart>
      <c:catAx>
        <c:axId val="2138418431"/>
        <c:scaling>
          <c:orientation val="minMax"/>
        </c:scaling>
        <c:delete val="1"/>
        <c:axPos val="b"/>
        <c:numFmt formatCode="General" sourceLinked="1"/>
        <c:majorTickMark val="none"/>
        <c:minorTickMark val="none"/>
        <c:tickLblPos val="nextTo"/>
        <c:crossAx val="2098058543"/>
        <c:crosses val="autoZero"/>
        <c:auto val="1"/>
        <c:lblAlgn val="ctr"/>
        <c:lblOffset val="100"/>
        <c:noMultiLvlLbl val="0"/>
      </c:catAx>
      <c:valAx>
        <c:axId val="209805854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13841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return Project 4 presention.xlsx]Pivot taple!PivotTable4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Region and </a:t>
            </a:r>
            <a:r>
              <a:rPr lang="en-US" sz="1100" b="0" i="0" u="none" strike="noStrike" kern="1200" spc="0" baseline="0">
                <a:solidFill>
                  <a:sysClr val="windowText" lastClr="000000">
                    <a:lumMod val="65000"/>
                    <a:lumOff val="35000"/>
                  </a:sysClr>
                </a:solidFill>
              </a:rPr>
              <a:t>Total  </a:t>
            </a:r>
            <a:r>
              <a:rPr lang="en-US"/>
              <a:t>Quantity Returned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4802706820955"/>
          <c:y val="0.27414867599835896"/>
          <c:w val="0.66992942847656123"/>
          <c:h val="0.72002952158077982"/>
        </c:manualLayout>
      </c:layout>
      <c:barChart>
        <c:barDir val="bar"/>
        <c:grouping val="clustered"/>
        <c:varyColors val="0"/>
        <c:ser>
          <c:idx val="0"/>
          <c:order val="0"/>
          <c:tx>
            <c:strRef>
              <c:f>'Pivot taple'!$Q$21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taple'!$P$22:$P$27</c:f>
              <c:strCache>
                <c:ptCount val="5"/>
                <c:pt idx="0">
                  <c:v>Kismayo</c:v>
                </c:pt>
                <c:pt idx="1">
                  <c:v>Hargeisa</c:v>
                </c:pt>
                <c:pt idx="2">
                  <c:v>Baidoa</c:v>
                </c:pt>
                <c:pt idx="3">
                  <c:v>Banadir</c:v>
                </c:pt>
                <c:pt idx="4">
                  <c:v>Garowe</c:v>
                </c:pt>
              </c:strCache>
            </c:strRef>
          </c:cat>
          <c:val>
            <c:numRef>
              <c:f>'Pivot taple'!$Q$22:$Q$27</c:f>
              <c:numCache>
                <c:formatCode>0</c:formatCode>
                <c:ptCount val="5"/>
                <c:pt idx="0">
                  <c:v>38</c:v>
                </c:pt>
                <c:pt idx="1">
                  <c:v>26</c:v>
                </c:pt>
                <c:pt idx="2">
                  <c:v>25</c:v>
                </c:pt>
                <c:pt idx="3">
                  <c:v>25</c:v>
                </c:pt>
                <c:pt idx="4">
                  <c:v>14</c:v>
                </c:pt>
              </c:numCache>
            </c:numRef>
          </c:val>
          <c:extLst>
            <c:ext xmlns:c16="http://schemas.microsoft.com/office/drawing/2014/chart" uri="{C3380CC4-5D6E-409C-BE32-E72D297353CC}">
              <c16:uniqueId val="{00000000-D685-493A-9C0A-6F02463B9AFF}"/>
            </c:ext>
          </c:extLst>
        </c:ser>
        <c:dLbls>
          <c:dLblPos val="outEnd"/>
          <c:showLegendKey val="0"/>
          <c:showVal val="1"/>
          <c:showCatName val="0"/>
          <c:showSerName val="0"/>
          <c:showPercent val="0"/>
          <c:showBubbleSize val="0"/>
        </c:dLbls>
        <c:gapWidth val="182"/>
        <c:axId val="2144321631"/>
        <c:axId val="1988580399"/>
      </c:barChart>
      <c:catAx>
        <c:axId val="214432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80399"/>
        <c:crosses val="autoZero"/>
        <c:auto val="1"/>
        <c:lblAlgn val="ctr"/>
        <c:lblOffset val="100"/>
        <c:noMultiLvlLbl val="0"/>
      </c:catAx>
      <c:valAx>
        <c:axId val="19885803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4432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return Project 4 presention.xlsx]Pivot taple!PivotTable1</c:name>
    <c:fmtId val="1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Total Return by Reason and Total Quantity Returned</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13000">
                <a:schemeClr val="tx1">
                  <a:lumMod val="95000"/>
                  <a:lumOff val="5000"/>
                </a:schemeClr>
              </a:gs>
              <a:gs pos="93000">
                <a:schemeClr val="tx1">
                  <a:lumMod val="95000"/>
                  <a:lumOff val="5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taple'!$F$4</c:f>
              <c:strCache>
                <c:ptCount val="1"/>
                <c:pt idx="0">
                  <c:v>Total</c:v>
                </c:pt>
              </c:strCache>
            </c:strRef>
          </c:tx>
          <c:spPr>
            <a:gradFill rotWithShape="1">
              <a:gsLst>
                <a:gs pos="13000">
                  <a:schemeClr val="tx1">
                    <a:lumMod val="95000"/>
                    <a:lumOff val="5000"/>
                  </a:schemeClr>
                </a:gs>
                <a:gs pos="93000">
                  <a:schemeClr val="tx1">
                    <a:lumMod val="95000"/>
                    <a:lumOff val="5000"/>
                  </a:schemeClr>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taple'!$E$5:$E$10</c:f>
              <c:strCache>
                <c:ptCount val="5"/>
                <c:pt idx="0">
                  <c:v>Quality Issue</c:v>
                </c:pt>
                <c:pt idx="1">
                  <c:v>Wrong Product</c:v>
                </c:pt>
                <c:pt idx="2">
                  <c:v>Customer Changed Mind</c:v>
                </c:pt>
                <c:pt idx="3">
                  <c:v>Damaged Item</c:v>
                </c:pt>
                <c:pt idx="4">
                  <c:v>Late Delivery</c:v>
                </c:pt>
              </c:strCache>
            </c:strRef>
          </c:cat>
          <c:val>
            <c:numRef>
              <c:f>'Pivot taple'!$F$5:$F$10</c:f>
              <c:numCache>
                <c:formatCode>0</c:formatCode>
                <c:ptCount val="5"/>
                <c:pt idx="0">
                  <c:v>28</c:v>
                </c:pt>
                <c:pt idx="1">
                  <c:v>28</c:v>
                </c:pt>
                <c:pt idx="2">
                  <c:v>25</c:v>
                </c:pt>
                <c:pt idx="3">
                  <c:v>25</c:v>
                </c:pt>
                <c:pt idx="4">
                  <c:v>22</c:v>
                </c:pt>
              </c:numCache>
            </c:numRef>
          </c:val>
          <c:extLst>
            <c:ext xmlns:c16="http://schemas.microsoft.com/office/drawing/2014/chart" uri="{C3380CC4-5D6E-409C-BE32-E72D297353CC}">
              <c16:uniqueId val="{00000000-A032-4640-90D7-4A5E22AC257C}"/>
            </c:ext>
          </c:extLst>
        </c:ser>
        <c:dLbls>
          <c:dLblPos val="outEnd"/>
          <c:showLegendKey val="0"/>
          <c:showVal val="1"/>
          <c:showCatName val="0"/>
          <c:showSerName val="0"/>
          <c:showPercent val="0"/>
          <c:showBubbleSize val="0"/>
        </c:dLbls>
        <c:gapWidth val="115"/>
        <c:overlap val="-20"/>
        <c:axId val="2054115887"/>
        <c:axId val="2098115183"/>
      </c:barChart>
      <c:catAx>
        <c:axId val="20541158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8115183"/>
        <c:crosses val="autoZero"/>
        <c:auto val="1"/>
        <c:lblAlgn val="ctr"/>
        <c:lblOffset val="100"/>
        <c:noMultiLvlLbl val="0"/>
      </c:catAx>
      <c:valAx>
        <c:axId val="209811518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411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3000">
          <a:schemeClr val="accent6">
            <a:lumMod val="60000"/>
            <a:lumOff val="40000"/>
          </a:schemeClr>
        </a:gs>
        <a:gs pos="93000">
          <a:schemeClr val="bg1">
            <a:lumMod val="65000"/>
          </a:schemeClr>
        </a:gs>
      </a:gsLst>
      <a:lin ang="5400000" scaled="1"/>
      <a:tileRect/>
    </a:gra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return Project 4 presention.xlsx]Pivot taple!PivotTable2</c:name>
    <c:fmtId val="9"/>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Total Return Status and Total Count of Return 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taple'!$F$20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09-4645-8C8E-F8778CC42E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09-4645-8C8E-F8778CC42E8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09-4645-8C8E-F8778CC42E8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taple'!$E$21:$E$24</c:f>
              <c:strCache>
                <c:ptCount val="3"/>
                <c:pt idx="0">
                  <c:v>Approved</c:v>
                </c:pt>
                <c:pt idx="1">
                  <c:v>Rejected</c:v>
                </c:pt>
                <c:pt idx="2">
                  <c:v>Pending</c:v>
                </c:pt>
              </c:strCache>
            </c:strRef>
          </c:cat>
          <c:val>
            <c:numRef>
              <c:f>'Pivot taple'!$F$21:$F$24</c:f>
              <c:numCache>
                <c:formatCode>General</c:formatCode>
                <c:ptCount val="3"/>
                <c:pt idx="0">
                  <c:v>25</c:v>
                </c:pt>
                <c:pt idx="1">
                  <c:v>10</c:v>
                </c:pt>
                <c:pt idx="2">
                  <c:v>5</c:v>
                </c:pt>
              </c:numCache>
            </c:numRef>
          </c:val>
          <c:extLst>
            <c:ext xmlns:c16="http://schemas.microsoft.com/office/drawing/2014/chart" uri="{C3380CC4-5D6E-409C-BE32-E72D297353CC}">
              <c16:uniqueId val="{00000006-CC09-4645-8C8E-F8778CC42E8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88000">
          <a:schemeClr val="bg1">
            <a:lumMod val="65000"/>
          </a:schemeClr>
        </a:gs>
        <a:gs pos="0">
          <a:schemeClr val="accent6">
            <a:lumMod val="60000"/>
            <a:lumOff val="4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return Project 4 presention.xlsx]Pivot taple!PivotTable3</c:name>
    <c:fmtId val="12"/>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en-US">
                <a:solidFill>
                  <a:schemeClr val="tx1"/>
                </a:solidFill>
              </a:rPr>
              <a:t>Category and Total Net Refund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a:gsLst>
              <a:gs pos="13000">
                <a:schemeClr val="tx1">
                  <a:lumMod val="95000"/>
                  <a:lumOff val="5000"/>
                </a:schemeClr>
              </a:gs>
              <a:gs pos="0">
                <a:schemeClr val="accent6">
                  <a:lumMod val="60000"/>
                  <a:lumOff val="40000"/>
                </a:schemeClr>
              </a:gs>
            </a:gsLst>
            <a:lin ang="5400000" scaled="1"/>
          </a:gra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taple'!$Q$6</c:f>
              <c:strCache>
                <c:ptCount val="1"/>
                <c:pt idx="0">
                  <c:v>Total</c:v>
                </c:pt>
              </c:strCache>
            </c:strRef>
          </c:tx>
          <c:spPr>
            <a:gradFill>
              <a:gsLst>
                <a:gs pos="13000">
                  <a:schemeClr val="tx1">
                    <a:lumMod val="95000"/>
                    <a:lumOff val="5000"/>
                  </a:schemeClr>
                </a:gs>
                <a:gs pos="0">
                  <a:schemeClr val="accent6">
                    <a:lumMod val="60000"/>
                    <a:lumOff val="40000"/>
                  </a:schemeClr>
                </a:gs>
              </a:gsLst>
              <a:lin ang="5400000" scaled="1"/>
            </a:gra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taple'!$P$7:$P$12</c:f>
              <c:strCache>
                <c:ptCount val="5"/>
                <c:pt idx="0">
                  <c:v>Accessories</c:v>
                </c:pt>
                <c:pt idx="1">
                  <c:v>Electronics</c:v>
                </c:pt>
                <c:pt idx="2">
                  <c:v>Furniture</c:v>
                </c:pt>
                <c:pt idx="3">
                  <c:v>Office Supplies</c:v>
                </c:pt>
                <c:pt idx="4">
                  <c:v>Stationery</c:v>
                </c:pt>
              </c:strCache>
            </c:strRef>
          </c:cat>
          <c:val>
            <c:numRef>
              <c:f>'Pivot taple'!$Q$7:$Q$12</c:f>
              <c:numCache>
                <c:formatCode>\$#,##0.00</c:formatCode>
                <c:ptCount val="5"/>
                <c:pt idx="0">
                  <c:v>202.22649999999999</c:v>
                </c:pt>
                <c:pt idx="1">
                  <c:v>3363.5034999999998</c:v>
                </c:pt>
                <c:pt idx="2">
                  <c:v>533.69100000000003</c:v>
                </c:pt>
                <c:pt idx="3">
                  <c:v>454.63200000000006</c:v>
                </c:pt>
                <c:pt idx="4">
                  <c:v>41.676499999999997</c:v>
                </c:pt>
              </c:numCache>
            </c:numRef>
          </c:val>
          <c:extLst>
            <c:ext xmlns:c16="http://schemas.microsoft.com/office/drawing/2014/chart" uri="{C3380CC4-5D6E-409C-BE32-E72D297353CC}">
              <c16:uniqueId val="{00000000-C381-4FB0-B37F-646E2DEBC6EA}"/>
            </c:ext>
          </c:extLst>
        </c:ser>
        <c:dLbls>
          <c:dLblPos val="outEnd"/>
          <c:showLegendKey val="0"/>
          <c:showVal val="1"/>
          <c:showCatName val="0"/>
          <c:showSerName val="0"/>
          <c:showPercent val="0"/>
          <c:showBubbleSize val="0"/>
        </c:dLbls>
        <c:gapWidth val="315"/>
        <c:overlap val="-40"/>
        <c:axId val="2138418431"/>
        <c:axId val="2098058543"/>
      </c:barChart>
      <c:catAx>
        <c:axId val="213841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8058543"/>
        <c:crosses val="autoZero"/>
        <c:auto val="1"/>
        <c:lblAlgn val="ctr"/>
        <c:lblOffset val="100"/>
        <c:noMultiLvlLbl val="0"/>
      </c:catAx>
      <c:valAx>
        <c:axId val="20980585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3841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8000">
          <a:schemeClr val="bg1">
            <a:lumMod val="65000"/>
          </a:schemeClr>
        </a:gs>
        <a:gs pos="0">
          <a:schemeClr val="accent6">
            <a:lumMod val="60000"/>
            <a:lumOff val="4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return Project 4 presention.xlsx]Pivot taple!PivotTable4</c:name>
    <c:fmtId val="1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  Region and Total  Quantity Returned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4802706820955"/>
          <c:y val="0.27414867599835896"/>
          <c:w val="0.66992942847656123"/>
          <c:h val="0.72002952158077982"/>
        </c:manualLayout>
      </c:layout>
      <c:barChart>
        <c:barDir val="bar"/>
        <c:grouping val="clustered"/>
        <c:varyColors val="0"/>
        <c:ser>
          <c:idx val="0"/>
          <c:order val="0"/>
          <c:tx>
            <c:strRef>
              <c:f>'Pivot taple'!$Q$21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taple'!$P$22:$P$27</c:f>
              <c:strCache>
                <c:ptCount val="5"/>
                <c:pt idx="0">
                  <c:v>Kismayo</c:v>
                </c:pt>
                <c:pt idx="1">
                  <c:v>Hargeisa</c:v>
                </c:pt>
                <c:pt idx="2">
                  <c:v>Baidoa</c:v>
                </c:pt>
                <c:pt idx="3">
                  <c:v>Banadir</c:v>
                </c:pt>
                <c:pt idx="4">
                  <c:v>Garowe</c:v>
                </c:pt>
              </c:strCache>
            </c:strRef>
          </c:cat>
          <c:val>
            <c:numRef>
              <c:f>'Pivot taple'!$Q$22:$Q$27</c:f>
              <c:numCache>
                <c:formatCode>0</c:formatCode>
                <c:ptCount val="5"/>
                <c:pt idx="0">
                  <c:v>38</c:v>
                </c:pt>
                <c:pt idx="1">
                  <c:v>26</c:v>
                </c:pt>
                <c:pt idx="2">
                  <c:v>25</c:v>
                </c:pt>
                <c:pt idx="3">
                  <c:v>25</c:v>
                </c:pt>
                <c:pt idx="4">
                  <c:v>14</c:v>
                </c:pt>
              </c:numCache>
            </c:numRef>
          </c:val>
          <c:extLst>
            <c:ext xmlns:c16="http://schemas.microsoft.com/office/drawing/2014/chart" uri="{C3380CC4-5D6E-409C-BE32-E72D297353CC}">
              <c16:uniqueId val="{00000000-F27F-4FC4-8E48-0EE55BA2701D}"/>
            </c:ext>
          </c:extLst>
        </c:ser>
        <c:dLbls>
          <c:dLblPos val="outEnd"/>
          <c:showLegendKey val="0"/>
          <c:showVal val="1"/>
          <c:showCatName val="0"/>
          <c:showSerName val="0"/>
          <c:showPercent val="0"/>
          <c:showBubbleSize val="0"/>
        </c:dLbls>
        <c:gapWidth val="115"/>
        <c:overlap val="-20"/>
        <c:axId val="2144321631"/>
        <c:axId val="1988580399"/>
      </c:barChart>
      <c:catAx>
        <c:axId val="21443216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8580399"/>
        <c:crosses val="autoZero"/>
        <c:auto val="1"/>
        <c:lblAlgn val="ctr"/>
        <c:lblOffset val="100"/>
        <c:noMultiLvlLbl val="0"/>
      </c:catAx>
      <c:valAx>
        <c:axId val="1988580399"/>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214432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bg1">
            <a:lumMod val="75000"/>
          </a:schemeClr>
        </a:gs>
        <a:gs pos="23000">
          <a:schemeClr val="accent6">
            <a:lumMod val="60000"/>
            <a:lumOff val="4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479318</xdr:colOff>
      <xdr:row>2</xdr:row>
      <xdr:rowOff>100464</xdr:rowOff>
    </xdr:from>
    <xdr:to>
      <xdr:col>11</xdr:col>
      <xdr:colOff>541821</xdr:colOff>
      <xdr:row>16</xdr:row>
      <xdr:rowOff>118102</xdr:rowOff>
    </xdr:to>
    <xdr:graphicFrame macro="">
      <xdr:nvGraphicFramePr>
        <xdr:cNvPr id="14" name="Chart 13">
          <a:extLst>
            <a:ext uri="{FF2B5EF4-FFF2-40B4-BE49-F238E27FC236}">
              <a16:creationId xmlns:a16="http://schemas.microsoft.com/office/drawing/2014/main" id="{3177C8FC-3FCD-638E-6B95-6443057FF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366160</xdr:colOff>
      <xdr:row>18</xdr:row>
      <xdr:rowOff>125597</xdr:rowOff>
    </xdr:from>
    <xdr:to>
      <xdr:col>10</xdr:col>
      <xdr:colOff>338246</xdr:colOff>
      <xdr:row>33</xdr:row>
      <xdr:rowOff>90672</xdr:rowOff>
    </xdr:to>
    <xdr:graphicFrame macro="">
      <xdr:nvGraphicFramePr>
        <xdr:cNvPr id="15" name="Chart 14">
          <a:extLst>
            <a:ext uri="{FF2B5EF4-FFF2-40B4-BE49-F238E27FC236}">
              <a16:creationId xmlns:a16="http://schemas.microsoft.com/office/drawing/2014/main" id="{E621620E-64E3-3525-A53B-0E44B8EAD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191544</xdr:colOff>
      <xdr:row>4</xdr:row>
      <xdr:rowOff>26037</xdr:rowOff>
    </xdr:from>
    <xdr:to>
      <xdr:col>24</xdr:col>
      <xdr:colOff>514839</xdr:colOff>
      <xdr:row>17</xdr:row>
      <xdr:rowOff>7999</xdr:rowOff>
    </xdr:to>
    <xdr:graphicFrame macro="">
      <xdr:nvGraphicFramePr>
        <xdr:cNvPr id="18" name="Chart 17">
          <a:extLst>
            <a:ext uri="{FF2B5EF4-FFF2-40B4-BE49-F238E27FC236}">
              <a16:creationId xmlns:a16="http://schemas.microsoft.com/office/drawing/2014/main" id="{F431CE88-A82C-D6C0-91F8-CB4D3D927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689</xdr:colOff>
      <xdr:row>19</xdr:row>
      <xdr:rowOff>4611</xdr:rowOff>
    </xdr:from>
    <xdr:to>
      <xdr:col>24</xdr:col>
      <xdr:colOff>124008</xdr:colOff>
      <xdr:row>30</xdr:row>
      <xdr:rowOff>161726</xdr:rowOff>
    </xdr:to>
    <xdr:graphicFrame macro="">
      <xdr:nvGraphicFramePr>
        <xdr:cNvPr id="19" name="Chart 18">
          <a:extLst>
            <a:ext uri="{FF2B5EF4-FFF2-40B4-BE49-F238E27FC236}">
              <a16:creationId xmlns:a16="http://schemas.microsoft.com/office/drawing/2014/main" id="{FF9FADDE-44C8-E001-746F-009655735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255700</xdr:colOff>
      <xdr:row>1</xdr:row>
      <xdr:rowOff>158751</xdr:rowOff>
    </xdr:from>
    <xdr:to>
      <xdr:col>15</xdr:col>
      <xdr:colOff>228204</xdr:colOff>
      <xdr:row>31</xdr:row>
      <xdr:rowOff>68631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C24D23B-7F6C-B162-9E2A-386D102892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46794" y="2936661"/>
              <a:ext cx="1812773" cy="2598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213593</xdr:colOff>
      <xdr:row>33</xdr:row>
      <xdr:rowOff>17568</xdr:rowOff>
    </xdr:from>
    <xdr:to>
      <xdr:col>14</xdr:col>
      <xdr:colOff>210663</xdr:colOff>
      <xdr:row>46</xdr:row>
      <xdr:rowOff>165419</xdr:rowOff>
    </xdr:to>
    <mc:AlternateContent xmlns:mc="http://schemas.openxmlformats.org/markup-compatibility/2006" xmlns:a14="http://schemas.microsoft.com/office/drawing/2010/main">
      <mc:Choice Requires="a14">
        <xdr:graphicFrame macro="">
          <xdr:nvGraphicFramePr>
            <xdr:cNvPr id="5" name="Sales Rep">
              <a:extLst>
                <a:ext uri="{FF2B5EF4-FFF2-40B4-BE49-F238E27FC236}">
                  <a16:creationId xmlns:a16="http://schemas.microsoft.com/office/drawing/2014/main" id="{D29D8B7F-E377-70C0-A451-8DBF0EFC660D}"/>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1504687" y="5861552"/>
              <a:ext cx="1812773" cy="2598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540425</xdr:colOff>
      <xdr:row>313</xdr:row>
      <xdr:rowOff>106825</xdr:rowOff>
    </xdr:to>
    <xdr:sp macro="" textlink="">
      <xdr:nvSpPr>
        <xdr:cNvPr id="2" name="Rectangle 1">
          <a:extLst>
            <a:ext uri="{FF2B5EF4-FFF2-40B4-BE49-F238E27FC236}">
              <a16:creationId xmlns:a16="http://schemas.microsoft.com/office/drawing/2014/main" id="{5AB49008-5059-D594-EE5A-A7A05BE2EA73}"/>
            </a:ext>
          </a:extLst>
        </xdr:cNvPr>
        <xdr:cNvSpPr/>
      </xdr:nvSpPr>
      <xdr:spPr>
        <a:xfrm>
          <a:off x="0" y="0"/>
          <a:ext cx="25467553" cy="59310442"/>
        </a:xfrm>
        <a:prstGeom prst="rect">
          <a:avLst/>
        </a:prstGeom>
        <a:gradFill>
          <a:gsLst>
            <a:gs pos="13000">
              <a:schemeClr val="accent6">
                <a:lumMod val="60000"/>
                <a:lumOff val="40000"/>
              </a:schemeClr>
            </a:gs>
            <a:gs pos="93000">
              <a:schemeClr val="bg1">
                <a:lumMod val="65000"/>
              </a:schemeClr>
            </a:gs>
          </a:gsLst>
          <a:lin ang="5400000" scaled="1"/>
        </a:gra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415190</xdr:colOff>
      <xdr:row>0</xdr:row>
      <xdr:rowOff>0</xdr:rowOff>
    </xdr:from>
    <xdr:to>
      <xdr:col>30</xdr:col>
      <xdr:colOff>119810</xdr:colOff>
      <xdr:row>74</xdr:row>
      <xdr:rowOff>138044</xdr:rowOff>
    </xdr:to>
    <xdr:sp macro="" textlink="">
      <xdr:nvSpPr>
        <xdr:cNvPr id="3" name="Rectangle 2">
          <a:extLst>
            <a:ext uri="{FF2B5EF4-FFF2-40B4-BE49-F238E27FC236}">
              <a16:creationId xmlns:a16="http://schemas.microsoft.com/office/drawing/2014/main" id="{E309FED8-BD00-DFCB-1EA1-5A0453B12A01}"/>
            </a:ext>
          </a:extLst>
        </xdr:cNvPr>
        <xdr:cNvSpPr/>
      </xdr:nvSpPr>
      <xdr:spPr>
        <a:xfrm>
          <a:off x="2847105" y="0"/>
          <a:ext cx="15512067" cy="14135065"/>
        </a:xfrm>
        <a:prstGeom prst="rect">
          <a:avLst/>
        </a:prstGeom>
        <a:gradFill>
          <a:gsLst>
            <a:gs pos="0">
              <a:schemeClr val="accent1">
                <a:lumMod val="5000"/>
                <a:lumOff val="95000"/>
              </a:schemeClr>
            </a:gs>
            <a:gs pos="26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75339</xdr:colOff>
      <xdr:row>0</xdr:row>
      <xdr:rowOff>53814</xdr:rowOff>
    </xdr:from>
    <xdr:to>
      <xdr:col>29</xdr:col>
      <xdr:colOff>503208</xdr:colOff>
      <xdr:row>5</xdr:row>
      <xdr:rowOff>53813</xdr:rowOff>
    </xdr:to>
    <xdr:sp macro="" textlink="">
      <xdr:nvSpPr>
        <xdr:cNvPr id="4" name="Rectangle: Rounded Corners 3">
          <a:extLst>
            <a:ext uri="{FF2B5EF4-FFF2-40B4-BE49-F238E27FC236}">
              <a16:creationId xmlns:a16="http://schemas.microsoft.com/office/drawing/2014/main" id="{2CADA80C-1C4A-C7BB-A6AC-1A8F7A1D0795}"/>
            </a:ext>
          </a:extLst>
        </xdr:cNvPr>
        <xdr:cNvSpPr/>
      </xdr:nvSpPr>
      <xdr:spPr>
        <a:xfrm>
          <a:off x="3130528" y="53814"/>
          <a:ext cx="15092774" cy="898584"/>
        </a:xfrm>
        <a:prstGeom prst="roundRect">
          <a:avLst/>
        </a:prstGeom>
        <a:gradFill>
          <a:gsLst>
            <a:gs pos="13000">
              <a:schemeClr val="accent6">
                <a:lumMod val="60000"/>
                <a:lumOff val="40000"/>
              </a:schemeClr>
            </a:gs>
            <a:gs pos="93000">
              <a:schemeClr val="bg1">
                <a:lumMod val="6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tx1"/>
              </a:solidFill>
            </a:rPr>
            <a:t>Sales returnd Dashboard</a:t>
          </a:r>
        </a:p>
      </xdr:txBody>
    </xdr:sp>
    <xdr:clientData/>
  </xdr:twoCellAnchor>
  <xdr:twoCellAnchor>
    <xdr:from>
      <xdr:col>5</xdr:col>
      <xdr:colOff>93713</xdr:colOff>
      <xdr:row>6</xdr:row>
      <xdr:rowOff>62643</xdr:rowOff>
    </xdr:from>
    <xdr:to>
      <xdr:col>10</xdr:col>
      <xdr:colOff>231905</xdr:colOff>
      <xdr:row>13</xdr:row>
      <xdr:rowOff>-1</xdr:rowOff>
    </xdr:to>
    <xdr:sp macro="" textlink="">
      <xdr:nvSpPr>
        <xdr:cNvPr id="5" name="Rectangle: Rounded Corners 4">
          <a:extLst>
            <a:ext uri="{FF2B5EF4-FFF2-40B4-BE49-F238E27FC236}">
              <a16:creationId xmlns:a16="http://schemas.microsoft.com/office/drawing/2014/main" id="{E6609212-D42B-4473-9C3F-4C3BFF2593DC}"/>
            </a:ext>
          </a:extLst>
        </xdr:cNvPr>
        <xdr:cNvSpPr/>
      </xdr:nvSpPr>
      <xdr:spPr>
        <a:xfrm>
          <a:off x="3148902" y="1140945"/>
          <a:ext cx="3193380" cy="1195375"/>
        </a:xfrm>
        <a:prstGeom prst="roundRect">
          <a:avLst/>
        </a:prstGeom>
        <a:gradFill>
          <a:gsLst>
            <a:gs pos="23000">
              <a:schemeClr val="accent6">
                <a:lumMod val="60000"/>
                <a:lumOff val="40000"/>
              </a:schemeClr>
            </a:gs>
            <a:gs pos="64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b="1" i="0">
              <a:solidFill>
                <a:schemeClr val="tx1"/>
              </a:solidFill>
              <a:latin typeface="+mn-lt"/>
              <a:ea typeface="+mn-ea"/>
              <a:cs typeface="+mn-cs"/>
            </a:rPr>
            <a:t>Total quantity returnd</a:t>
          </a:r>
        </a:p>
      </xdr:txBody>
    </xdr:sp>
    <xdr:clientData/>
  </xdr:twoCellAnchor>
  <xdr:twoCellAnchor>
    <xdr:from>
      <xdr:col>18</xdr:col>
      <xdr:colOff>302664</xdr:colOff>
      <xdr:row>6</xdr:row>
      <xdr:rowOff>55933</xdr:rowOff>
    </xdr:from>
    <xdr:to>
      <xdr:col>23</xdr:col>
      <xdr:colOff>440855</xdr:colOff>
      <xdr:row>12</xdr:row>
      <xdr:rowOff>173006</xdr:rowOff>
    </xdr:to>
    <xdr:sp macro="" textlink="">
      <xdr:nvSpPr>
        <xdr:cNvPr id="7" name="Rectangle: Rounded Corners 6">
          <a:extLst>
            <a:ext uri="{FF2B5EF4-FFF2-40B4-BE49-F238E27FC236}">
              <a16:creationId xmlns:a16="http://schemas.microsoft.com/office/drawing/2014/main" id="{B0EF4DCA-099C-406B-AA5D-CB486D1475DE}"/>
            </a:ext>
          </a:extLst>
        </xdr:cNvPr>
        <xdr:cNvSpPr/>
      </xdr:nvSpPr>
      <xdr:spPr>
        <a:xfrm>
          <a:off x="11301343" y="1134235"/>
          <a:ext cx="3193380" cy="1195375"/>
        </a:xfrm>
        <a:prstGeom prst="roundRect">
          <a:avLst/>
        </a:prstGeom>
        <a:gradFill>
          <a:gsLst>
            <a:gs pos="23000">
              <a:schemeClr val="accent6">
                <a:lumMod val="60000"/>
                <a:lumOff val="40000"/>
              </a:schemeClr>
            </a:gs>
            <a:gs pos="64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b="1" i="0">
              <a:solidFill>
                <a:schemeClr val="tx1"/>
              </a:solidFill>
              <a:latin typeface="+mn-lt"/>
              <a:ea typeface="+mn-ea"/>
              <a:cs typeface="+mn-cs"/>
            </a:rPr>
            <a:t>Approved returnd rate</a:t>
          </a:r>
        </a:p>
      </xdr:txBody>
    </xdr:sp>
    <xdr:clientData/>
  </xdr:twoCellAnchor>
  <xdr:twoCellAnchor>
    <xdr:from>
      <xdr:col>24</xdr:col>
      <xdr:colOff>383176</xdr:colOff>
      <xdr:row>6</xdr:row>
      <xdr:rowOff>40597</xdr:rowOff>
    </xdr:from>
    <xdr:to>
      <xdr:col>29</xdr:col>
      <xdr:colOff>521368</xdr:colOff>
      <xdr:row>12</xdr:row>
      <xdr:rowOff>157670</xdr:rowOff>
    </xdr:to>
    <xdr:sp macro="" textlink="">
      <xdr:nvSpPr>
        <xdr:cNvPr id="8" name="Rectangle: Rounded Corners 7">
          <a:extLst>
            <a:ext uri="{FF2B5EF4-FFF2-40B4-BE49-F238E27FC236}">
              <a16:creationId xmlns:a16="http://schemas.microsoft.com/office/drawing/2014/main" id="{77C2321C-D036-4978-B9D1-A7E21EEA6A89}"/>
            </a:ext>
          </a:extLst>
        </xdr:cNvPr>
        <xdr:cNvSpPr/>
      </xdr:nvSpPr>
      <xdr:spPr>
        <a:xfrm>
          <a:off x="14974665" y="1175491"/>
          <a:ext cx="3178086" cy="1251966"/>
        </a:xfrm>
        <a:prstGeom prst="roundRect">
          <a:avLst/>
        </a:prstGeom>
        <a:gradFill>
          <a:gsLst>
            <a:gs pos="23000">
              <a:schemeClr val="accent6">
                <a:lumMod val="60000"/>
                <a:lumOff val="40000"/>
              </a:schemeClr>
            </a:gs>
            <a:gs pos="64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a:solidFill>
                <a:schemeClr val="tx1"/>
              </a:solidFill>
            </a:rPr>
            <a:t>Average</a:t>
          </a:r>
          <a:r>
            <a:rPr lang="en-US" sz="2000" b="1" i="0" baseline="0">
              <a:solidFill>
                <a:schemeClr val="tx1"/>
              </a:solidFill>
            </a:rPr>
            <a:t> refund per approved returnd</a:t>
          </a:r>
          <a:endParaRPr lang="en-US" sz="2000" b="1" i="0">
            <a:solidFill>
              <a:schemeClr val="tx1"/>
            </a:solidFill>
          </a:endParaRPr>
        </a:p>
      </xdr:txBody>
    </xdr:sp>
    <xdr:clientData/>
  </xdr:twoCellAnchor>
  <xdr:twoCellAnchor>
    <xdr:from>
      <xdr:col>11</xdr:col>
      <xdr:colOff>550913</xdr:colOff>
      <xdr:row>6</xdr:row>
      <xdr:rowOff>112484</xdr:rowOff>
    </xdr:from>
    <xdr:to>
      <xdr:col>17</xdr:col>
      <xdr:colOff>78066</xdr:colOff>
      <xdr:row>13</xdr:row>
      <xdr:rowOff>49840</xdr:rowOff>
    </xdr:to>
    <xdr:sp macro="" textlink="">
      <xdr:nvSpPr>
        <xdr:cNvPr id="11" name="Rectangle: Rounded Corners 10">
          <a:extLst>
            <a:ext uri="{FF2B5EF4-FFF2-40B4-BE49-F238E27FC236}">
              <a16:creationId xmlns:a16="http://schemas.microsoft.com/office/drawing/2014/main" id="{2B242653-D9E0-4E6A-A45E-8D630D4828B9}"/>
            </a:ext>
          </a:extLst>
        </xdr:cNvPr>
        <xdr:cNvSpPr/>
      </xdr:nvSpPr>
      <xdr:spPr>
        <a:xfrm>
          <a:off x="7272328" y="1190786"/>
          <a:ext cx="3193380" cy="1195375"/>
        </a:xfrm>
        <a:prstGeom prst="roundRect">
          <a:avLst/>
        </a:prstGeom>
        <a:gradFill>
          <a:gsLst>
            <a:gs pos="23000">
              <a:schemeClr val="accent6">
                <a:lumMod val="60000"/>
                <a:lumOff val="40000"/>
              </a:schemeClr>
            </a:gs>
            <a:gs pos="64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000" b="1" i="0">
              <a:solidFill>
                <a:schemeClr val="tx1"/>
              </a:solidFill>
              <a:latin typeface="+mn-lt"/>
              <a:ea typeface="+mn-ea"/>
              <a:cs typeface="+mn-cs"/>
            </a:rPr>
            <a:t>Net refund</a:t>
          </a:r>
        </a:p>
      </xdr:txBody>
    </xdr:sp>
    <xdr:clientData/>
  </xdr:twoCellAnchor>
  <xdr:twoCellAnchor>
    <xdr:from>
      <xdr:col>6</xdr:col>
      <xdr:colOff>292391</xdr:colOff>
      <xdr:row>10</xdr:row>
      <xdr:rowOff>23962</xdr:rowOff>
    </xdr:from>
    <xdr:to>
      <xdr:col>9</xdr:col>
      <xdr:colOff>543994</xdr:colOff>
      <xdr:row>12</xdr:row>
      <xdr:rowOff>167735</xdr:rowOff>
    </xdr:to>
    <xdr:sp macro="" textlink="'Pivot taple'!B16">
      <xdr:nvSpPr>
        <xdr:cNvPr id="12" name="TextBox 11">
          <a:extLst>
            <a:ext uri="{FF2B5EF4-FFF2-40B4-BE49-F238E27FC236}">
              <a16:creationId xmlns:a16="http://schemas.microsoft.com/office/drawing/2014/main" id="{1D8003EA-1B25-DDCF-F2A0-75D05BB4EEC2}"/>
            </a:ext>
          </a:extLst>
        </xdr:cNvPr>
        <xdr:cNvSpPr txBox="1"/>
      </xdr:nvSpPr>
      <xdr:spPr>
        <a:xfrm>
          <a:off x="3940263" y="1915451"/>
          <a:ext cx="2075540" cy="5220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1941FA6-EFA8-4960-86B7-6D86BD40F980}" type="TxLink">
            <a:rPr lang="en-US" sz="3200" b="1" i="1" u="none" strike="noStrike">
              <a:solidFill>
                <a:schemeClr val="accent1"/>
              </a:solidFill>
              <a:latin typeface="Calibri"/>
              <a:ea typeface="Calibri"/>
              <a:cs typeface="Calibri"/>
            </a:rPr>
            <a:pPr marL="0" indent="0" algn="r"/>
            <a:t>128</a:t>
          </a:fld>
          <a:endParaRPr lang="en-US" sz="3200" b="1" i="1" u="none" strike="noStrike">
            <a:solidFill>
              <a:schemeClr val="accent1"/>
            </a:solidFill>
            <a:latin typeface="Calibri"/>
            <a:ea typeface="Calibri"/>
            <a:cs typeface="Calibri"/>
          </a:endParaRPr>
        </a:p>
      </xdr:txBody>
    </xdr:sp>
    <xdr:clientData/>
  </xdr:twoCellAnchor>
  <xdr:twoCellAnchor>
    <xdr:from>
      <xdr:col>13</xdr:col>
      <xdr:colOff>167517</xdr:colOff>
      <xdr:row>10</xdr:row>
      <xdr:rowOff>64560</xdr:rowOff>
    </xdr:from>
    <xdr:to>
      <xdr:col>16</xdr:col>
      <xdr:colOff>419121</xdr:colOff>
      <xdr:row>13</xdr:row>
      <xdr:rowOff>28616</xdr:rowOff>
    </xdr:to>
    <xdr:sp macro="" textlink="'Pivot taple'!C14">
      <xdr:nvSpPr>
        <xdr:cNvPr id="13" name="TextBox 12">
          <a:extLst>
            <a:ext uri="{FF2B5EF4-FFF2-40B4-BE49-F238E27FC236}">
              <a16:creationId xmlns:a16="http://schemas.microsoft.com/office/drawing/2014/main" id="{DA6F45CD-C2C3-4257-A1A8-B61C16F9254C}"/>
            </a:ext>
          </a:extLst>
        </xdr:cNvPr>
        <xdr:cNvSpPr txBox="1"/>
      </xdr:nvSpPr>
      <xdr:spPr>
        <a:xfrm>
          <a:off x="8111008" y="1861730"/>
          <a:ext cx="2084717" cy="503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17A8772-EFB4-4777-91AD-95898A3BA3D8}" type="TxLink">
            <a:rPr lang="en-US" sz="3200" b="1" i="1" u="none" strike="noStrike">
              <a:solidFill>
                <a:schemeClr val="accent1"/>
              </a:solidFill>
              <a:latin typeface="Calibri"/>
              <a:ea typeface="Calibri"/>
              <a:cs typeface="Calibri"/>
            </a:rPr>
            <a:pPr marL="0" indent="0" algn="r"/>
            <a:t>$4,595.73</a:t>
          </a:fld>
          <a:endParaRPr lang="en-US" sz="3200" b="1" i="1" u="none" strike="noStrike">
            <a:solidFill>
              <a:schemeClr val="accent1"/>
            </a:solidFill>
            <a:latin typeface="Calibri"/>
            <a:ea typeface="Calibri"/>
            <a:cs typeface="Calibri"/>
          </a:endParaRPr>
        </a:p>
      </xdr:txBody>
    </xdr:sp>
    <xdr:clientData/>
  </xdr:twoCellAnchor>
  <xdr:twoCellAnchor>
    <xdr:from>
      <xdr:col>4</xdr:col>
      <xdr:colOff>576044</xdr:colOff>
      <xdr:row>14</xdr:row>
      <xdr:rowOff>64494</xdr:rowOff>
    </xdr:from>
    <xdr:to>
      <xdr:col>11</xdr:col>
      <xdr:colOff>351277</xdr:colOff>
      <xdr:row>28</xdr:row>
      <xdr:rowOff>73266</xdr:rowOff>
    </xdr:to>
    <xdr:graphicFrame macro="">
      <xdr:nvGraphicFramePr>
        <xdr:cNvPr id="14" name="Chart 13">
          <a:extLst>
            <a:ext uri="{FF2B5EF4-FFF2-40B4-BE49-F238E27FC236}">
              <a16:creationId xmlns:a16="http://schemas.microsoft.com/office/drawing/2014/main" id="{4E2DA8D2-87E9-4521-A13B-6C6D147D4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427426</xdr:colOff>
      <xdr:row>14</xdr:row>
      <xdr:rowOff>40532</xdr:rowOff>
    </xdr:from>
    <xdr:to>
      <xdr:col>18</xdr:col>
      <xdr:colOff>0</xdr:colOff>
      <xdr:row>28</xdr:row>
      <xdr:rowOff>114645</xdr:rowOff>
    </xdr:to>
    <xdr:graphicFrame macro="">
      <xdr:nvGraphicFramePr>
        <xdr:cNvPr id="15" name="Chart 14">
          <a:extLst>
            <a:ext uri="{FF2B5EF4-FFF2-40B4-BE49-F238E27FC236}">
              <a16:creationId xmlns:a16="http://schemas.microsoft.com/office/drawing/2014/main" id="{D385F4BE-43D8-4E33-A6C0-717FA2B7A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63913</xdr:colOff>
      <xdr:row>14</xdr:row>
      <xdr:rowOff>27022</xdr:rowOff>
    </xdr:from>
    <xdr:to>
      <xdr:col>24</xdr:col>
      <xdr:colOff>283725</xdr:colOff>
      <xdr:row>28</xdr:row>
      <xdr:rowOff>108086</xdr:rowOff>
    </xdr:to>
    <xdr:graphicFrame macro="">
      <xdr:nvGraphicFramePr>
        <xdr:cNvPr id="16" name="Chart 15">
          <a:extLst>
            <a:ext uri="{FF2B5EF4-FFF2-40B4-BE49-F238E27FC236}">
              <a16:creationId xmlns:a16="http://schemas.microsoft.com/office/drawing/2014/main" id="{ADB3BA95-4F9D-4359-ADA8-A56EE254F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351277</xdr:colOff>
      <xdr:row>14</xdr:row>
      <xdr:rowOff>13511</xdr:rowOff>
    </xdr:from>
    <xdr:to>
      <xdr:col>30</xdr:col>
      <xdr:colOff>67553</xdr:colOff>
      <xdr:row>28</xdr:row>
      <xdr:rowOff>108085</xdr:rowOff>
    </xdr:to>
    <xdr:graphicFrame macro="">
      <xdr:nvGraphicFramePr>
        <xdr:cNvPr id="17" name="Chart 16">
          <a:extLst>
            <a:ext uri="{FF2B5EF4-FFF2-40B4-BE49-F238E27FC236}">
              <a16:creationId xmlns:a16="http://schemas.microsoft.com/office/drawing/2014/main" id="{A3C0493C-C609-4CF4-AFA9-98EB6BD2B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13510</xdr:colOff>
      <xdr:row>15</xdr:row>
      <xdr:rowOff>54042</xdr:rowOff>
    </xdr:from>
    <xdr:to>
      <xdr:col>4</xdr:col>
      <xdr:colOff>459361</xdr:colOff>
      <xdr:row>40</xdr:row>
      <xdr:rowOff>162128</xdr:rowOff>
    </xdr:to>
    <mc:AlternateContent xmlns:mc="http://schemas.openxmlformats.org/markup-compatibility/2006" xmlns:a14="http://schemas.microsoft.com/office/drawing/2010/main">
      <mc:Choice Requires="a14">
        <xdr:graphicFrame macro="">
          <xdr:nvGraphicFramePr>
            <xdr:cNvPr id="19" name="Sales Rep 2">
              <a:extLst>
                <a:ext uri="{FF2B5EF4-FFF2-40B4-BE49-F238E27FC236}">
                  <a16:creationId xmlns:a16="http://schemas.microsoft.com/office/drawing/2014/main" id="{D1E110D8-0255-40E9-BE66-55C72E014A4D}"/>
                </a:ext>
              </a:extLst>
            </xdr:cNvPr>
            <xdr:cNvGraphicFramePr/>
          </xdr:nvGraphicFramePr>
          <xdr:xfrm>
            <a:off x="0" y="0"/>
            <a:ext cx="0" cy="0"/>
          </xdr:xfrm>
          <a:graphic>
            <a:graphicData uri="http://schemas.microsoft.com/office/drawing/2010/slicer">
              <sle:slicer xmlns:sle="http://schemas.microsoft.com/office/drawing/2010/slicer" name="Sales Rep 2"/>
            </a:graphicData>
          </a:graphic>
        </xdr:graphicFrame>
      </mc:Choice>
      <mc:Fallback xmlns="">
        <xdr:sp macro="" textlink="">
          <xdr:nvSpPr>
            <xdr:cNvPr id="0" name=""/>
            <xdr:cNvSpPr>
              <a:spLocks noTextEdit="1"/>
            </xdr:cNvSpPr>
          </xdr:nvSpPr>
          <xdr:spPr>
            <a:xfrm>
              <a:off x="13510" y="2891276"/>
              <a:ext cx="2877766" cy="2485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519852</xdr:colOff>
      <xdr:row>9</xdr:row>
      <xdr:rowOff>182140</xdr:rowOff>
    </xdr:from>
    <xdr:to>
      <xdr:col>23</xdr:col>
      <xdr:colOff>163478</xdr:colOff>
      <xdr:row>12</xdr:row>
      <xdr:rowOff>152546</xdr:rowOff>
    </xdr:to>
    <xdr:sp macro="" textlink="'Pivot taple'!B6">
      <xdr:nvSpPr>
        <xdr:cNvPr id="6" name="TextBox 5">
          <a:extLst>
            <a:ext uri="{FF2B5EF4-FFF2-40B4-BE49-F238E27FC236}">
              <a16:creationId xmlns:a16="http://schemas.microsoft.com/office/drawing/2014/main" id="{422A612A-75D0-4BBF-B9CE-F790192AC1E2}"/>
            </a:ext>
          </a:extLst>
        </xdr:cNvPr>
        <xdr:cNvSpPr txBox="1"/>
      </xdr:nvSpPr>
      <xdr:spPr>
        <a:xfrm>
          <a:off x="12071448" y="1884480"/>
          <a:ext cx="2075541" cy="537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69ADA89-91BF-4D86-A10E-5278464A227F}" type="TxLink">
            <a:rPr lang="en-US" sz="3200" b="1" i="1" u="none" strike="noStrike">
              <a:solidFill>
                <a:schemeClr val="accent1"/>
              </a:solidFill>
              <a:latin typeface="Calibri"/>
              <a:ea typeface="Calibri"/>
              <a:cs typeface="Calibri"/>
            </a:rPr>
            <a:pPr marL="0" indent="0" algn="r"/>
            <a:t>62.5</a:t>
          </a:fld>
          <a:endParaRPr lang="en-US" sz="3200" b="1" i="1" u="none" strike="noStrike">
            <a:solidFill>
              <a:schemeClr val="accent1"/>
            </a:solidFill>
            <a:latin typeface="Calibri"/>
            <a:ea typeface="Calibri"/>
            <a:cs typeface="Calibri"/>
          </a:endParaRPr>
        </a:p>
      </xdr:txBody>
    </xdr:sp>
    <xdr:clientData/>
  </xdr:twoCellAnchor>
  <xdr:twoCellAnchor>
    <xdr:from>
      <xdr:col>26</xdr:col>
      <xdr:colOff>45409</xdr:colOff>
      <xdr:row>9</xdr:row>
      <xdr:rowOff>175705</xdr:rowOff>
    </xdr:from>
    <xdr:to>
      <xdr:col>29</xdr:col>
      <xdr:colOff>297014</xdr:colOff>
      <xdr:row>12</xdr:row>
      <xdr:rowOff>146111</xdr:rowOff>
    </xdr:to>
    <xdr:sp macro="" textlink="'Pivot taple'!A13">
      <xdr:nvSpPr>
        <xdr:cNvPr id="10" name="TextBox 9">
          <a:extLst>
            <a:ext uri="{FF2B5EF4-FFF2-40B4-BE49-F238E27FC236}">
              <a16:creationId xmlns:a16="http://schemas.microsoft.com/office/drawing/2014/main" id="{0A9ABEC4-64EB-466B-97FD-1C12D5B74453}"/>
            </a:ext>
          </a:extLst>
        </xdr:cNvPr>
        <xdr:cNvSpPr txBox="1"/>
      </xdr:nvSpPr>
      <xdr:spPr>
        <a:xfrm>
          <a:off x="15852856" y="1878045"/>
          <a:ext cx="2075541" cy="537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772373E-77BC-4AF7-9E0C-0246C4D2FBED}" type="TxLink">
            <a:rPr lang="en-US" sz="3200" b="1" i="1" u="none" strike="noStrike">
              <a:solidFill>
                <a:schemeClr val="accent1"/>
              </a:solidFill>
              <a:latin typeface="Calibri"/>
              <a:ea typeface="Calibri"/>
              <a:cs typeface="Calibri"/>
            </a:rPr>
            <a:pPr marL="0" indent="0" algn="r"/>
            <a:t>183.83</a:t>
          </a:fld>
          <a:endParaRPr lang="en-US" sz="3200" b="1" i="1" u="none" strike="noStrike">
            <a:solidFill>
              <a:schemeClr val="accent1"/>
            </a:solidFill>
            <a:latin typeface="Calibri"/>
            <a:ea typeface="Calibri"/>
            <a:cs typeface="Calibri"/>
          </a:endParaRPr>
        </a:p>
      </xdr:txBody>
    </xdr:sp>
    <xdr:clientData/>
  </xdr:twoCellAnchor>
  <xdr:twoCellAnchor editAs="oneCell">
    <xdr:from>
      <xdr:col>0</xdr:col>
      <xdr:colOff>0</xdr:colOff>
      <xdr:row>0</xdr:row>
      <xdr:rowOff>0</xdr:rowOff>
    </xdr:from>
    <xdr:to>
      <xdr:col>4</xdr:col>
      <xdr:colOff>459362</xdr:colOff>
      <xdr:row>15</xdr:row>
      <xdr:rowOff>31899</xdr:rowOff>
    </xdr:to>
    <mc:AlternateContent xmlns:mc="http://schemas.openxmlformats.org/markup-compatibility/2006" xmlns:a14="http://schemas.microsoft.com/office/drawing/2010/main">
      <mc:Choice Requires="a14">
        <xdr:graphicFrame macro="">
          <xdr:nvGraphicFramePr>
            <xdr:cNvPr id="18" name="Region 2">
              <a:extLst>
                <a:ext uri="{FF2B5EF4-FFF2-40B4-BE49-F238E27FC236}">
                  <a16:creationId xmlns:a16="http://schemas.microsoft.com/office/drawing/2014/main" id="{0D5D7EA4-8EC8-47C7-AD5B-4A4085F1908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0"/>
              <a:ext cx="2891277" cy="2869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526915</xdr:colOff>
      <xdr:row>10</xdr:row>
      <xdr:rowOff>0</xdr:rowOff>
    </xdr:from>
    <xdr:to>
      <xdr:col>13</xdr:col>
      <xdr:colOff>256702</xdr:colOff>
      <xdr:row>13</xdr:row>
      <xdr:rowOff>54041</xdr:rowOff>
    </xdr:to>
    <xdr:pic>
      <xdr:nvPicPr>
        <xdr:cNvPr id="20" name="Graphic 19" descr="Dollar with solid fill">
          <a:extLst>
            <a:ext uri="{FF2B5EF4-FFF2-40B4-BE49-F238E27FC236}">
              <a16:creationId xmlns:a16="http://schemas.microsoft.com/office/drawing/2014/main" id="{6A71E791-B87B-D1AA-071A-1F73B3BA7E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14681" y="1891489"/>
          <a:ext cx="945744" cy="621488"/>
        </a:xfrm>
        <a:prstGeom prst="rect">
          <a:avLst/>
        </a:prstGeom>
      </xdr:spPr>
    </xdr:pic>
    <xdr:clientData/>
  </xdr:twoCellAnchor>
  <xdr:twoCellAnchor editAs="oneCell">
    <xdr:from>
      <xdr:col>18</xdr:col>
      <xdr:colOff>391809</xdr:colOff>
      <xdr:row>9</xdr:row>
      <xdr:rowOff>54042</xdr:rowOff>
    </xdr:from>
    <xdr:to>
      <xdr:col>19</xdr:col>
      <xdr:colOff>414506</xdr:colOff>
      <xdr:row>13</xdr:row>
      <xdr:rowOff>9185</xdr:rowOff>
    </xdr:to>
    <xdr:pic>
      <xdr:nvPicPr>
        <xdr:cNvPr id="28" name="Graphic 27" descr="Bar graph with upward trend with solid fill">
          <a:extLst>
            <a:ext uri="{FF2B5EF4-FFF2-40B4-BE49-F238E27FC236}">
              <a16:creationId xmlns:a16="http://schemas.microsoft.com/office/drawing/2014/main" id="{2FB5A2A5-5636-AE58-C1A6-B83C37039BD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335426" y="1756382"/>
          <a:ext cx="630676" cy="711739"/>
        </a:xfrm>
        <a:prstGeom prst="rect">
          <a:avLst/>
        </a:prstGeom>
      </xdr:spPr>
    </xdr:pic>
    <xdr:clientData/>
  </xdr:twoCellAnchor>
  <xdr:twoCellAnchor editAs="oneCell">
    <xdr:from>
      <xdr:col>24</xdr:col>
      <xdr:colOff>445851</xdr:colOff>
      <xdr:row>9</xdr:row>
      <xdr:rowOff>155777</xdr:rowOff>
    </xdr:from>
    <xdr:to>
      <xdr:col>25</xdr:col>
      <xdr:colOff>576633</xdr:colOff>
      <xdr:row>13</xdr:row>
      <xdr:rowOff>36208</xdr:rowOff>
    </xdr:to>
    <xdr:pic>
      <xdr:nvPicPr>
        <xdr:cNvPr id="30" name="Graphic 29" descr="Coins with solid fill">
          <a:extLst>
            <a:ext uri="{FF2B5EF4-FFF2-40B4-BE49-F238E27FC236}">
              <a16:creationId xmlns:a16="http://schemas.microsoft.com/office/drawing/2014/main" id="{DCE76EFA-2DA5-283F-1DD1-92051F45068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037340" y="1858117"/>
          <a:ext cx="738761" cy="637027"/>
        </a:xfrm>
        <a:prstGeom prst="rect">
          <a:avLst/>
        </a:prstGeom>
      </xdr:spPr>
    </xdr:pic>
    <xdr:clientData/>
  </xdr:twoCellAnchor>
  <xdr:twoCellAnchor editAs="oneCell">
    <xdr:from>
      <xdr:col>5</xdr:col>
      <xdr:colOff>54042</xdr:colOff>
      <xdr:row>9</xdr:row>
      <xdr:rowOff>148617</xdr:rowOff>
    </xdr:from>
    <xdr:to>
      <xdr:col>6</xdr:col>
      <xdr:colOff>346954</xdr:colOff>
      <xdr:row>13</xdr:row>
      <xdr:rowOff>36209</xdr:rowOff>
    </xdr:to>
    <xdr:pic>
      <xdr:nvPicPr>
        <xdr:cNvPr id="34" name="Graphic 33" descr="Bar chart with solid fill">
          <a:extLst>
            <a:ext uri="{FF2B5EF4-FFF2-40B4-BE49-F238E27FC236}">
              <a16:creationId xmlns:a16="http://schemas.microsoft.com/office/drawing/2014/main" id="{6B72E017-134D-35B1-6163-293FF6F79D4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93936" y="1850957"/>
          <a:ext cx="900890" cy="6441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4.493899074077" createdVersion="8" refreshedVersion="8" minRefreshableVersion="3" recordCount="40" xr:uid="{B3FF5E32-360F-4E17-AAEB-1584A935B842}">
  <cacheSource type="worksheet">
    <worksheetSource name="SalesReturnsTable"/>
  </cacheSource>
  <cacheFields count="16">
    <cacheField name="Return ID" numFmtId="0">
      <sharedItems/>
    </cacheField>
    <cacheField name="Order ID" numFmtId="0">
      <sharedItems count="40">
        <s v="ORD-1087"/>
        <s v="ORD-1088"/>
        <s v="ORD-1015"/>
        <s v="ORD-1055"/>
        <s v="ORD-1068"/>
        <s v="ORD-1067"/>
        <s v="ORD-1085"/>
        <s v="ORD-1010"/>
        <s v="ORD-1018"/>
        <s v="ORD-1091"/>
        <s v="ORD-1021"/>
        <s v="ORD-1012"/>
        <s v="ORD-1058"/>
        <s v="ORD-1043"/>
        <s v="ORD-1086"/>
        <s v="ORD-1011"/>
        <s v="ORD-1051"/>
        <s v="ORD-1017"/>
        <s v="ORD-1073"/>
        <s v="ORD-1063"/>
        <s v="ORD-1035"/>
        <s v="ORD-1078"/>
        <s v="ORD-1071"/>
        <s v="ORD-1094"/>
        <s v="ORD-1041"/>
        <s v="ORD-1031"/>
        <s v="ORD-1060"/>
        <s v="ORD-1062"/>
        <s v="ORD-1072"/>
        <s v="ORD-1009"/>
        <s v="ORD-1069"/>
        <s v="ORD-1037"/>
        <s v="ORD-1074"/>
        <s v="ORD-1013"/>
        <s v="ORD-1092"/>
        <s v="ORD-1028"/>
        <s v="ORD-1003"/>
        <s v="ORD-1025"/>
        <s v="ORD-1038"/>
        <s v="ORD-1007"/>
      </sharedItems>
    </cacheField>
    <cacheField name="Return Date" numFmtId="164">
      <sharedItems containsSemiMixedTypes="0" containsNonDate="0" containsDate="1" containsString="0" minDate="2026-01-08T00:00:00" maxDate="2026-07-03T00:00:00"/>
    </cacheField>
    <cacheField name="Product" numFmtId="0">
      <sharedItems/>
    </cacheField>
    <cacheField name="Category" numFmtId="0">
      <sharedItems count="5">
        <s v="Accessories"/>
        <s v="Stationery"/>
        <s v="Furniture"/>
        <s v="Electronics"/>
        <s v="Office Supplies"/>
      </sharedItems>
    </cacheField>
    <cacheField name="Region" numFmtId="0">
      <sharedItems count="5">
        <s v="Banadir"/>
        <s v="Kismayo"/>
        <s v="Garowe"/>
        <s v="Baidoa"/>
        <s v="Hargeisa"/>
      </sharedItems>
    </cacheField>
    <cacheField name="Sales Rep" numFmtId="0">
      <sharedItems count="6">
        <s v="Omar"/>
        <s v="Hassan"/>
        <s v="Samira"/>
        <s v="Amina"/>
        <s v="Yusuf"/>
        <s v="Muna"/>
      </sharedItems>
    </cacheField>
    <cacheField name="Quantity Sold" numFmtId="1">
      <sharedItems containsSemiMixedTypes="0" containsString="0" containsNumber="1" containsInteger="1" minValue="1" maxValue="50"/>
    </cacheField>
    <cacheField name="Quantity Returned" numFmtId="1">
      <sharedItems containsSemiMixedTypes="0" containsString="0" containsNumber="1" containsInteger="1" minValue="1" maxValue="8" count="7">
        <n v="2"/>
        <n v="6"/>
        <n v="1"/>
        <n v="4"/>
        <n v="3"/>
        <n v="5"/>
        <n v="8"/>
      </sharedItems>
    </cacheField>
    <cacheField name="Unit Price" numFmtId="165">
      <sharedItems containsSemiMixedTypes="0" containsString="0" containsNumber="1" minValue="0.46" maxValue="688.64"/>
    </cacheField>
    <cacheField name="Return Reason" numFmtId="0">
      <sharedItems count="5">
        <s v="Late Delivery"/>
        <s v="Wrong Product"/>
        <s v="Quality Issue"/>
        <s v="Customer Changed Mind"/>
        <s v="Damaged Item"/>
      </sharedItems>
    </cacheField>
    <cacheField name="Return Status" numFmtId="0">
      <sharedItems count="3">
        <s v="Rejected"/>
        <s v="Approved"/>
        <s v="Pending"/>
      </sharedItems>
    </cacheField>
    <cacheField name="Refund Amount" numFmtId="165">
      <sharedItems containsSemiMixedTypes="0" containsString="0" containsNumber="1" minValue="0.48" maxValue="1816.6"/>
    </cacheField>
    <cacheField name="Restocking Fee" numFmtId="165">
      <sharedItems containsSemiMixedTypes="0" containsString="0" containsNumber="1" minValue="0" maxValue="68.864000000000004"/>
    </cacheField>
    <cacheField name="Net Refund" numFmtId="165">
      <sharedItems containsSemiMixedTypes="0" containsString="0" containsNumber="1" minValue="0" maxValue="1308.4159999999999"/>
    </cacheField>
    <cacheField name="Customer Feedback" numFmtId="0">
      <sharedItems/>
    </cacheField>
  </cacheFields>
  <extLst>
    <ext xmlns:x14="http://schemas.microsoft.com/office/spreadsheetml/2009/9/main" uri="{725AE2AE-9491-48be-B2B4-4EB974FC3084}">
      <x14:pivotCacheDefinition pivotCacheId="1568079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RET-3001"/>
    <x v="0"/>
    <d v="2026-02-23T00:00:00"/>
    <s v="School Bag"/>
    <x v="0"/>
    <x v="0"/>
    <x v="0"/>
    <n v="22"/>
    <x v="0"/>
    <n v="21.05"/>
    <x v="0"/>
    <x v="0"/>
    <n v="42.1"/>
    <n v="0"/>
    <n v="0"/>
    <s v="Delivery arrived too late"/>
  </r>
  <r>
    <s v="RET-3002"/>
    <x v="1"/>
    <d v="2026-06-05T00:00:00"/>
    <s v="Ball Pen"/>
    <x v="1"/>
    <x v="1"/>
    <x v="1"/>
    <n v="37"/>
    <x v="1"/>
    <n v="0.52"/>
    <x v="1"/>
    <x v="1"/>
    <n v="3.12"/>
    <n v="0.15600000000000003"/>
    <n v="2.964"/>
    <s v="Incorrect item received"/>
  </r>
  <r>
    <s v="RET-3003"/>
    <x v="2"/>
    <d v="2026-03-14T00:00:00"/>
    <s v="Desk Chair"/>
    <x v="2"/>
    <x v="2"/>
    <x v="2"/>
    <n v="8"/>
    <x v="2"/>
    <n v="83.19"/>
    <x v="2"/>
    <x v="0"/>
    <n v="83.19"/>
    <n v="0"/>
    <n v="0"/>
    <s v="Product quality below expectation"/>
  </r>
  <r>
    <s v="RET-3004"/>
    <x v="3"/>
    <d v="2026-03-22T00:00:00"/>
    <s v="Projector"/>
    <x v="3"/>
    <x v="3"/>
    <x v="0"/>
    <n v="4"/>
    <x v="3"/>
    <n v="454.15"/>
    <x v="1"/>
    <x v="0"/>
    <n v="1816.6"/>
    <n v="0"/>
    <n v="0"/>
    <s v="Incorrect item received"/>
  </r>
  <r>
    <s v="RET-3005"/>
    <x v="4"/>
    <d v="2026-03-19T00:00:00"/>
    <s v="Desk Chair"/>
    <x v="2"/>
    <x v="0"/>
    <x v="3"/>
    <n v="22"/>
    <x v="0"/>
    <n v="91.14"/>
    <x v="2"/>
    <x v="0"/>
    <n v="182.28"/>
    <n v="0"/>
    <n v="0"/>
    <s v="Product quality below expectation"/>
  </r>
  <r>
    <s v="RET-3006"/>
    <x v="5"/>
    <d v="2026-04-25T00:00:00"/>
    <s v="Study Desk"/>
    <x v="2"/>
    <x v="1"/>
    <x v="0"/>
    <n v="3"/>
    <x v="2"/>
    <n v="153.07"/>
    <x v="2"/>
    <x v="0"/>
    <n v="153.07"/>
    <n v="0"/>
    <n v="0"/>
    <s v="Product quality below expectation"/>
  </r>
  <r>
    <s v="RET-3007"/>
    <x v="6"/>
    <d v="2026-02-03T00:00:00"/>
    <s v="Printer Paper"/>
    <x v="4"/>
    <x v="0"/>
    <x v="4"/>
    <n v="20"/>
    <x v="3"/>
    <n v="5.54"/>
    <x v="0"/>
    <x v="0"/>
    <n v="22.16"/>
    <n v="0"/>
    <n v="0"/>
    <s v="Delivery arrived too late"/>
  </r>
  <r>
    <s v="RET-3008"/>
    <x v="7"/>
    <d v="2026-03-28T00:00:00"/>
    <s v="Notebook"/>
    <x v="1"/>
    <x v="4"/>
    <x v="0"/>
    <n v="21"/>
    <x v="4"/>
    <n v="2.5"/>
    <x v="2"/>
    <x v="1"/>
    <n v="7.5"/>
    <n v="0.375"/>
    <n v="7.125"/>
    <s v="Product quality below expectation"/>
  </r>
  <r>
    <s v="RET-3009"/>
    <x v="8"/>
    <d v="2026-02-07T00:00:00"/>
    <s v="Desk Chair"/>
    <x v="2"/>
    <x v="0"/>
    <x v="3"/>
    <n v="20"/>
    <x v="1"/>
    <n v="82.27"/>
    <x v="3"/>
    <x v="2"/>
    <n v="493.62"/>
    <n v="0"/>
    <n v="0"/>
    <s v="No longer needed"/>
  </r>
  <r>
    <s v="RET-3010"/>
    <x v="9"/>
    <d v="2026-03-04T00:00:00"/>
    <s v="Ball Pen"/>
    <x v="1"/>
    <x v="4"/>
    <x v="2"/>
    <n v="49"/>
    <x v="2"/>
    <n v="0.48"/>
    <x v="1"/>
    <x v="1"/>
    <n v="0.48"/>
    <n v="2.4E-2"/>
    <n v="0.45599999999999996"/>
    <s v="Incorrect item received"/>
  </r>
  <r>
    <s v="RET-3011"/>
    <x v="10"/>
    <d v="2026-06-06T00:00:00"/>
    <s v="School Bag"/>
    <x v="0"/>
    <x v="2"/>
    <x v="2"/>
    <n v="8"/>
    <x v="3"/>
    <n v="21.33"/>
    <x v="0"/>
    <x v="0"/>
    <n v="85.32"/>
    <n v="0"/>
    <n v="0"/>
    <s v="Delivery arrived too late"/>
  </r>
  <r>
    <s v="RET-3012"/>
    <x v="11"/>
    <d v="2026-05-19T00:00:00"/>
    <s v="Study Desk"/>
    <x v="2"/>
    <x v="0"/>
    <x v="3"/>
    <n v="6"/>
    <x v="2"/>
    <n v="134.94"/>
    <x v="0"/>
    <x v="1"/>
    <n v="134.94"/>
    <n v="6.7469999999999999"/>
    <n v="128.19299999999998"/>
    <s v="Delivery arrived too late"/>
  </r>
  <r>
    <s v="RET-3013"/>
    <x v="12"/>
    <d v="2026-05-20T00:00:00"/>
    <s v="Calculator"/>
    <x v="3"/>
    <x v="2"/>
    <x v="0"/>
    <n v="16"/>
    <x v="0"/>
    <n v="19.86"/>
    <x v="3"/>
    <x v="0"/>
    <n v="39.72"/>
    <n v="0"/>
    <n v="0"/>
    <s v="No longer needed"/>
  </r>
  <r>
    <s v="RET-3014"/>
    <x v="13"/>
    <d v="2026-06-12T00:00:00"/>
    <s v="Ball Pen"/>
    <x v="1"/>
    <x v="4"/>
    <x v="1"/>
    <n v="23"/>
    <x v="5"/>
    <n v="0.54"/>
    <x v="2"/>
    <x v="1"/>
    <n v="2.7"/>
    <n v="0.13500000000000001"/>
    <n v="2.5650000000000004"/>
    <s v="Product quality below expectation"/>
  </r>
  <r>
    <s v="RET-3015"/>
    <x v="14"/>
    <d v="2026-06-12T00:00:00"/>
    <s v="Printer Paper"/>
    <x v="4"/>
    <x v="1"/>
    <x v="0"/>
    <n v="41"/>
    <x v="1"/>
    <n v="6.56"/>
    <x v="3"/>
    <x v="1"/>
    <n v="39.36"/>
    <n v="1.968"/>
    <n v="37.391999999999996"/>
    <s v="No longer needed"/>
  </r>
  <r>
    <s v="RET-3016"/>
    <x v="15"/>
    <d v="2026-05-24T00:00:00"/>
    <s v="School Bag"/>
    <x v="0"/>
    <x v="1"/>
    <x v="2"/>
    <n v="10"/>
    <x v="1"/>
    <n v="21.41"/>
    <x v="0"/>
    <x v="1"/>
    <n v="128.46"/>
    <n v="6.4230000000000009"/>
    <n v="122.03700000000001"/>
    <s v="Delivery arrived too late"/>
  </r>
  <r>
    <s v="RET-3017"/>
    <x v="16"/>
    <d v="2026-02-22T00:00:00"/>
    <s v="Projector"/>
    <x v="3"/>
    <x v="4"/>
    <x v="4"/>
    <n v="7"/>
    <x v="4"/>
    <n v="413.8"/>
    <x v="3"/>
    <x v="0"/>
    <n v="1241.4000000000001"/>
    <n v="0"/>
    <n v="0"/>
    <s v="No longer needed"/>
  </r>
  <r>
    <s v="RET-3018"/>
    <x v="17"/>
    <d v="2026-04-12T00:00:00"/>
    <s v="Calculator"/>
    <x v="3"/>
    <x v="3"/>
    <x v="3"/>
    <n v="50"/>
    <x v="2"/>
    <n v="19.88"/>
    <x v="2"/>
    <x v="1"/>
    <n v="19.88"/>
    <n v="0.99399999999999999"/>
    <n v="18.885999999999999"/>
    <s v="Product quality below expectation"/>
  </r>
  <r>
    <s v="RET-3019"/>
    <x v="18"/>
    <d v="2026-02-04T00:00:00"/>
    <s v="Laptop"/>
    <x v="3"/>
    <x v="2"/>
    <x v="5"/>
    <n v="2"/>
    <x v="0"/>
    <n v="688.64"/>
    <x v="3"/>
    <x v="1"/>
    <n v="1377.28"/>
    <n v="68.864000000000004"/>
    <n v="1308.4159999999999"/>
    <s v="No longer needed"/>
  </r>
  <r>
    <s v="RET-3020"/>
    <x v="19"/>
    <d v="2026-06-07T00:00:00"/>
    <s v="School Bag"/>
    <x v="0"/>
    <x v="0"/>
    <x v="0"/>
    <n v="27"/>
    <x v="2"/>
    <n v="20.51"/>
    <x v="0"/>
    <x v="1"/>
    <n v="20.51"/>
    <n v="1.0255000000000001"/>
    <n v="19.484500000000001"/>
    <s v="Delivery arrived too late"/>
  </r>
  <r>
    <s v="RET-3021"/>
    <x v="20"/>
    <d v="2026-05-30T00:00:00"/>
    <s v="School Bag"/>
    <x v="0"/>
    <x v="4"/>
    <x v="1"/>
    <n v="40"/>
    <x v="1"/>
    <n v="24.63"/>
    <x v="1"/>
    <x v="2"/>
    <n v="147.78"/>
    <n v="0"/>
    <n v="0"/>
    <s v="Incorrect item received"/>
  </r>
  <r>
    <s v="RET-3022"/>
    <x v="21"/>
    <d v="2026-04-09T00:00:00"/>
    <s v="School Bag"/>
    <x v="0"/>
    <x v="1"/>
    <x v="2"/>
    <n v="21"/>
    <x v="2"/>
    <n v="21.04"/>
    <x v="1"/>
    <x v="1"/>
    <n v="21.04"/>
    <n v="1.052"/>
    <n v="19.988"/>
    <s v="Incorrect item received"/>
  </r>
  <r>
    <s v="RET-3023"/>
    <x v="22"/>
    <d v="2026-02-27T00:00:00"/>
    <s v="Projector"/>
    <x v="3"/>
    <x v="1"/>
    <x v="2"/>
    <n v="6"/>
    <x v="2"/>
    <n v="400.49"/>
    <x v="4"/>
    <x v="1"/>
    <n v="400.49"/>
    <n v="20.024500000000003"/>
    <n v="380.46550000000002"/>
    <s v="Packaging needs improvement"/>
  </r>
  <r>
    <s v="RET-3024"/>
    <x v="23"/>
    <d v="2026-02-13T00:00:00"/>
    <s v="Ball Pen"/>
    <x v="1"/>
    <x v="0"/>
    <x v="1"/>
    <n v="35"/>
    <x v="6"/>
    <n v="0.48"/>
    <x v="2"/>
    <x v="2"/>
    <n v="3.84"/>
    <n v="0"/>
    <n v="0"/>
    <s v="Product quality below expectation"/>
  </r>
  <r>
    <s v="RET-3025"/>
    <x v="24"/>
    <d v="2026-02-11T00:00:00"/>
    <s v="Printer Paper"/>
    <x v="4"/>
    <x v="3"/>
    <x v="3"/>
    <n v="35"/>
    <x v="3"/>
    <n v="5.56"/>
    <x v="4"/>
    <x v="1"/>
    <n v="22.24"/>
    <n v="1.1119999999999999"/>
    <n v="21.128"/>
    <s v="Packaging needs improvement"/>
  </r>
  <r>
    <s v="RET-3026"/>
    <x v="25"/>
    <d v="2026-02-09T00:00:00"/>
    <s v="Whiteboard"/>
    <x v="4"/>
    <x v="2"/>
    <x v="1"/>
    <n v="31"/>
    <x v="5"/>
    <n v="76.540000000000006"/>
    <x v="4"/>
    <x v="1"/>
    <n v="382.70000000000005"/>
    <n v="19.135000000000002"/>
    <n v="363.56500000000005"/>
    <s v="Packaging needs improvement"/>
  </r>
  <r>
    <s v="RET-3027"/>
    <x v="26"/>
    <d v="2026-05-10T00:00:00"/>
    <s v="Projector"/>
    <x v="3"/>
    <x v="4"/>
    <x v="0"/>
    <n v="4"/>
    <x v="0"/>
    <n v="456.95"/>
    <x v="3"/>
    <x v="1"/>
    <n v="913.9"/>
    <n v="45.695"/>
    <n v="868.20499999999993"/>
    <s v="No longer needed"/>
  </r>
  <r>
    <s v="RET-3028"/>
    <x v="27"/>
    <d v="2026-04-24T00:00:00"/>
    <s v="Laptop"/>
    <x v="3"/>
    <x v="3"/>
    <x v="2"/>
    <n v="7"/>
    <x v="2"/>
    <n v="688.21"/>
    <x v="2"/>
    <x v="1"/>
    <n v="688.21"/>
    <n v="34.410500000000006"/>
    <n v="653.79950000000008"/>
    <s v="Product quality below expectation"/>
  </r>
  <r>
    <s v="RET-3029"/>
    <x v="28"/>
    <d v="2026-04-30T00:00:00"/>
    <s v="Notebook"/>
    <x v="1"/>
    <x v="4"/>
    <x v="2"/>
    <n v="20"/>
    <x v="1"/>
    <n v="2.59"/>
    <x v="4"/>
    <x v="1"/>
    <n v="15.54"/>
    <n v="0.77700000000000002"/>
    <n v="14.763"/>
    <s v="Packaging needs improvement"/>
  </r>
  <r>
    <s v="RET-3030"/>
    <x v="29"/>
    <d v="2026-03-10T00:00:00"/>
    <s v="School Bag"/>
    <x v="0"/>
    <x v="1"/>
    <x v="1"/>
    <n v="25"/>
    <x v="0"/>
    <n v="21.43"/>
    <x v="1"/>
    <x v="1"/>
    <n v="42.86"/>
    <n v="2.1430000000000002"/>
    <n v="40.716999999999999"/>
    <s v="Incorrect item received"/>
  </r>
  <r>
    <s v="RET-3031"/>
    <x v="30"/>
    <d v="2026-06-30T00:00:00"/>
    <s v="Calculator"/>
    <x v="3"/>
    <x v="0"/>
    <x v="1"/>
    <n v="4"/>
    <x v="2"/>
    <n v="20.16"/>
    <x v="3"/>
    <x v="2"/>
    <n v="20.16"/>
    <n v="0"/>
    <n v="0"/>
    <s v="No longer needed"/>
  </r>
  <r>
    <s v="RET-3032"/>
    <x v="31"/>
    <d v="2026-02-08T00:00:00"/>
    <s v="Calculator"/>
    <x v="3"/>
    <x v="1"/>
    <x v="3"/>
    <n v="1"/>
    <x v="2"/>
    <n v="18.96"/>
    <x v="4"/>
    <x v="0"/>
    <n v="18.96"/>
    <n v="0"/>
    <n v="0"/>
    <s v="Packaging needs improvement"/>
  </r>
  <r>
    <s v="RET-3033"/>
    <x v="32"/>
    <d v="2026-01-08T00:00:00"/>
    <s v="Calculator"/>
    <x v="3"/>
    <x v="3"/>
    <x v="3"/>
    <n v="28"/>
    <x v="2"/>
    <n v="18.940000000000001"/>
    <x v="2"/>
    <x v="1"/>
    <n v="18.940000000000001"/>
    <n v="0.94700000000000006"/>
    <n v="17.993000000000002"/>
    <s v="Product quality below expectation"/>
  </r>
  <r>
    <s v="RET-3034"/>
    <x v="33"/>
    <d v="2026-01-24T00:00:00"/>
    <s v="Printer Paper"/>
    <x v="4"/>
    <x v="3"/>
    <x v="2"/>
    <n v="41"/>
    <x v="1"/>
    <n v="5.71"/>
    <x v="4"/>
    <x v="1"/>
    <n v="34.26"/>
    <n v="1.7130000000000001"/>
    <n v="32.546999999999997"/>
    <s v="Packaging needs improvement"/>
  </r>
  <r>
    <s v="RET-3035"/>
    <x v="34"/>
    <d v="2026-05-17T00:00:00"/>
    <s v="Ball Pen"/>
    <x v="1"/>
    <x v="1"/>
    <x v="1"/>
    <n v="11"/>
    <x v="4"/>
    <n v="0.46"/>
    <x v="3"/>
    <x v="1"/>
    <n v="1.3800000000000001"/>
    <n v="6.9000000000000006E-2"/>
    <n v="1.3110000000000002"/>
    <s v="No longer needed"/>
  </r>
  <r>
    <s v="RET-3036"/>
    <x v="35"/>
    <d v="2026-02-21T00:00:00"/>
    <s v="Study Desk"/>
    <x v="2"/>
    <x v="3"/>
    <x v="0"/>
    <n v="8"/>
    <x v="4"/>
    <n v="142.28"/>
    <x v="1"/>
    <x v="1"/>
    <n v="426.84000000000003"/>
    <n v="21.342000000000002"/>
    <n v="405.49800000000005"/>
    <s v="Incorrect item received"/>
  </r>
  <r>
    <s v="RET-3037"/>
    <x v="36"/>
    <d v="2026-03-05T00:00:00"/>
    <s v="Calculator"/>
    <x v="3"/>
    <x v="3"/>
    <x v="5"/>
    <n v="27"/>
    <x v="5"/>
    <n v="17.350000000000001"/>
    <x v="1"/>
    <x v="1"/>
    <n v="86.75"/>
    <n v="4.3375000000000004"/>
    <n v="82.412499999999994"/>
    <s v="Incorrect item received"/>
  </r>
  <r>
    <s v="RET-3038"/>
    <x v="37"/>
    <d v="2026-04-29T00:00:00"/>
    <s v="Notebook"/>
    <x v="1"/>
    <x v="1"/>
    <x v="1"/>
    <n v="44"/>
    <x v="5"/>
    <n v="2.63"/>
    <x v="2"/>
    <x v="1"/>
    <n v="13.149999999999999"/>
    <n v="0.65749999999999997"/>
    <n v="12.492499999999998"/>
    <s v="Product quality below expectation"/>
  </r>
  <r>
    <s v="RET-3039"/>
    <x v="38"/>
    <d v="2026-03-03T00:00:00"/>
    <s v="Calculator"/>
    <x v="3"/>
    <x v="1"/>
    <x v="5"/>
    <n v="10"/>
    <x v="0"/>
    <n v="17.54"/>
    <x v="4"/>
    <x v="1"/>
    <n v="35.08"/>
    <n v="1.754"/>
    <n v="33.326000000000001"/>
    <s v="Packaging needs improvement"/>
  </r>
  <r>
    <s v="RET-3040"/>
    <x v="39"/>
    <d v="2026-07-02T00:00:00"/>
    <s v="Ball Pen"/>
    <x v="1"/>
    <x v="1"/>
    <x v="5"/>
    <n v="15"/>
    <x v="3"/>
    <n v="0.55000000000000004"/>
    <x v="0"/>
    <x v="2"/>
    <n v="2.2000000000000002"/>
    <n v="0"/>
    <n v="0"/>
    <s v="Delivery arrived too l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1DFFEF-CDFC-4462-949F-5B915A9D0DB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Return by reason">
  <location ref="C5:C6" firstHeaderRow="1" firstDataRow="1" firstDataCol="0"/>
  <pivotFields count="16">
    <pivotField showAll="0"/>
    <pivotField dataField="1" showAll="0">
      <items count="41">
        <item x="36"/>
        <item x="39"/>
        <item x="29"/>
        <item x="7"/>
        <item x="15"/>
        <item x="11"/>
        <item x="33"/>
        <item x="2"/>
        <item x="17"/>
        <item x="8"/>
        <item x="10"/>
        <item x="37"/>
        <item x="35"/>
        <item x="25"/>
        <item x="20"/>
        <item x="31"/>
        <item x="38"/>
        <item x="24"/>
        <item x="13"/>
        <item x="16"/>
        <item x="3"/>
        <item x="12"/>
        <item x="26"/>
        <item x="27"/>
        <item x="19"/>
        <item x="5"/>
        <item x="4"/>
        <item x="30"/>
        <item x="22"/>
        <item x="28"/>
        <item x="18"/>
        <item x="32"/>
        <item x="21"/>
        <item x="6"/>
        <item x="14"/>
        <item x="0"/>
        <item x="1"/>
        <item x="9"/>
        <item x="34"/>
        <item x="23"/>
        <item t="default"/>
      </items>
    </pivotField>
    <pivotField numFmtId="164" showAll="0"/>
    <pivotField showAll="0"/>
    <pivotField showAll="0"/>
    <pivotField showAll="0">
      <items count="6">
        <item x="3"/>
        <item x="0"/>
        <item x="2"/>
        <item x="4"/>
        <item x="1"/>
        <item t="default"/>
      </items>
    </pivotField>
    <pivotField showAll="0">
      <items count="7">
        <item x="3"/>
        <item x="1"/>
        <item x="5"/>
        <item x="0"/>
        <item x="2"/>
        <item x="4"/>
        <item t="default"/>
      </items>
    </pivotField>
    <pivotField numFmtId="1" showAll="0"/>
    <pivotField numFmtId="1" showAll="0"/>
    <pivotField numFmtId="165" showAll="0"/>
    <pivotField showAll="0">
      <items count="6">
        <item x="3"/>
        <item x="4"/>
        <item x="0"/>
        <item x="2"/>
        <item x="1"/>
        <item t="default"/>
      </items>
    </pivotField>
    <pivotField showAll="0"/>
    <pivotField numFmtId="165" showAll="0"/>
    <pivotField numFmtId="165" showAll="0"/>
    <pivotField numFmtId="165" showAll="0"/>
    <pivotField showAll="0"/>
  </pivotFields>
  <rowItems count="1">
    <i/>
  </rowItems>
  <colItems count="1">
    <i/>
  </colItems>
  <dataFields count="1">
    <dataField name="Total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C3CFB5-DC93-4E5A-A853-7229762FB70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Return by reason">
  <location ref="A23:A24" firstHeaderRow="1" firstDataRow="1" firstDataCol="0" rowPageCount="1" colPageCount="1"/>
  <pivotFields count="16">
    <pivotField showAll="0"/>
    <pivotField dataField="1" showAll="0"/>
    <pivotField numFmtId="164" showAll="0"/>
    <pivotField showAll="0"/>
    <pivotField showAll="0"/>
    <pivotField showAll="0">
      <items count="6">
        <item x="3"/>
        <item x="0"/>
        <item x="2"/>
        <item x="4"/>
        <item x="1"/>
        <item t="default"/>
      </items>
    </pivotField>
    <pivotField showAll="0">
      <items count="7">
        <item x="3"/>
        <item x="1"/>
        <item x="5"/>
        <item x="0"/>
        <item x="2"/>
        <item x="4"/>
        <item t="default"/>
      </items>
    </pivotField>
    <pivotField numFmtId="1" showAll="0"/>
    <pivotField numFmtId="1" showAll="0"/>
    <pivotField numFmtId="165" showAll="0"/>
    <pivotField showAll="0">
      <items count="6">
        <item x="3"/>
        <item x="4"/>
        <item x="0"/>
        <item x="2"/>
        <item x="1"/>
        <item t="default"/>
      </items>
    </pivotField>
    <pivotField axis="axisPage" showAll="0">
      <items count="4">
        <item x="1"/>
        <item x="2"/>
        <item x="0"/>
        <item t="default"/>
      </items>
    </pivotField>
    <pivotField numFmtId="165" showAll="0"/>
    <pivotField numFmtId="165" showAll="0"/>
    <pivotField numFmtId="165" showAll="0"/>
    <pivotField showAll="0"/>
  </pivotFields>
  <rowItems count="1">
    <i/>
  </rowItems>
  <colItems count="1">
    <i/>
  </colItems>
  <pageFields count="1">
    <pageField fld="11" item="0" hier="-1"/>
  </pageField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749370-55DE-4E4F-8B8F-81D9A3D9F7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turn by reason">
  <location ref="B15:B16" firstHeaderRow="1" firstDataRow="1" firstDataCol="0"/>
  <pivotFields count="16">
    <pivotField showAll="0"/>
    <pivotField showAll="0"/>
    <pivotField numFmtId="164" showAll="0"/>
    <pivotField showAll="0"/>
    <pivotField showAll="0"/>
    <pivotField showAll="0">
      <items count="6">
        <item x="3"/>
        <item x="0"/>
        <item x="2"/>
        <item x="4"/>
        <item x="1"/>
        <item t="default"/>
      </items>
    </pivotField>
    <pivotField showAll="0">
      <items count="7">
        <item x="3"/>
        <item x="1"/>
        <item x="5"/>
        <item x="0"/>
        <item x="2"/>
        <item x="4"/>
        <item t="default"/>
      </items>
    </pivotField>
    <pivotField numFmtId="1" showAll="0"/>
    <pivotField dataField="1" numFmtId="1" showAll="0"/>
    <pivotField numFmtId="165" showAll="0"/>
    <pivotField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showAll="0"/>
  </pivotFields>
  <rowItems count="1">
    <i/>
  </rowItems>
  <colItems count="1">
    <i/>
  </colItems>
  <dataFields count="1">
    <dataField name="Total Quantity Returned" fld="8" baseField="0" baseItem="0" numFmtId="1"/>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FB3ED1-5542-41EE-9D1C-C3536FF7DB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tegory">
  <location ref="P6:Q12" firstHeaderRow="1" firstDataRow="1" firstDataCol="1"/>
  <pivotFields count="16">
    <pivotField showAll="0"/>
    <pivotField showAll="0"/>
    <pivotField numFmtId="164" showAll="0"/>
    <pivotField showAll="0"/>
    <pivotField axis="axisRow" showAll="0">
      <items count="6">
        <item x="0"/>
        <item x="3"/>
        <item x="2"/>
        <item x="4"/>
        <item x="1"/>
        <item t="default"/>
      </items>
    </pivotField>
    <pivotField showAll="0">
      <items count="6">
        <item x="3"/>
        <item x="0"/>
        <item x="2"/>
        <item x="4"/>
        <item x="1"/>
        <item t="default"/>
      </items>
    </pivotField>
    <pivotField showAll="0">
      <items count="7">
        <item x="3"/>
        <item x="1"/>
        <item x="5"/>
        <item x="0"/>
        <item x="2"/>
        <item x="4"/>
        <item t="default"/>
      </items>
    </pivotField>
    <pivotField numFmtId="1" showAll="0"/>
    <pivotField numFmtId="1" showAll="0"/>
    <pivotField numFmtId="165" showAll="0"/>
    <pivotField showAll="0">
      <items count="6">
        <item x="3"/>
        <item x="4"/>
        <item x="0"/>
        <item x="2"/>
        <item x="1"/>
        <item t="default"/>
      </items>
    </pivotField>
    <pivotField showAll="0"/>
    <pivotField numFmtId="165" showAll="0"/>
    <pivotField numFmtId="165" showAll="0"/>
    <pivotField dataField="1" numFmtId="165" showAll="0"/>
    <pivotField showAll="0"/>
  </pivotFields>
  <rowFields count="1">
    <field x="4"/>
  </rowFields>
  <rowItems count="6">
    <i>
      <x/>
    </i>
    <i>
      <x v="1"/>
    </i>
    <i>
      <x v="2"/>
    </i>
    <i>
      <x v="3"/>
    </i>
    <i>
      <x v="4"/>
    </i>
    <i t="grand">
      <x/>
    </i>
  </rowItems>
  <colItems count="1">
    <i/>
  </colItems>
  <dataFields count="1">
    <dataField name="Sum of Net Refund" fld="14" baseField="0" baseItem="0" numFmtId="165"/>
  </dataFields>
  <chartFormats count="4">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EA4942-9A17-43C0-ABE5-6D1CFD7253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turn Status">
  <location ref="E20:F24" firstHeaderRow="1" firstDataRow="1" firstDataCol="1"/>
  <pivotFields count="16">
    <pivotField dataField="1" showAll="0"/>
    <pivotField showAll="0"/>
    <pivotField numFmtId="164" showAll="0"/>
    <pivotField showAll="0"/>
    <pivotField showAll="0"/>
    <pivotField showAll="0">
      <items count="6">
        <item x="3"/>
        <item x="0"/>
        <item x="2"/>
        <item x="4"/>
        <item x="1"/>
        <item t="default"/>
      </items>
    </pivotField>
    <pivotField showAll="0">
      <items count="7">
        <item x="3"/>
        <item x="1"/>
        <item x="5"/>
        <item x="0"/>
        <item x="2"/>
        <item x="4"/>
        <item t="default"/>
      </items>
    </pivotField>
    <pivotField numFmtId="1" showAll="0"/>
    <pivotField numFmtId="1" showAll="0"/>
    <pivotField numFmtId="165" showAll="0"/>
    <pivotField showAll="0">
      <items count="6">
        <item x="3"/>
        <item x="4"/>
        <item x="0"/>
        <item x="2"/>
        <item x="1"/>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showAll="0"/>
  </pivotFields>
  <rowFields count="1">
    <field x="11"/>
  </rowFields>
  <rowItems count="4">
    <i>
      <x/>
    </i>
    <i>
      <x v="2"/>
    </i>
    <i>
      <x v="1"/>
    </i>
    <i t="grand">
      <x/>
    </i>
  </rowItems>
  <colItems count="1">
    <i/>
  </colItems>
  <dataFields count="1">
    <dataField name="Count of Return ID" fld="0"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2"/>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1" count="1" selected="0">
            <x v="0"/>
          </reference>
        </references>
      </pivotArea>
    </chartFormat>
    <chartFormat chart="9" format="10">
      <pivotArea type="data" outline="0" fieldPosition="0">
        <references count="2">
          <reference field="4294967294" count="1" selected="0">
            <x v="0"/>
          </reference>
          <reference field="11" count="1" selected="0">
            <x v="2"/>
          </reference>
        </references>
      </pivotArea>
    </chartFormat>
    <chartFormat chart="9" format="1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E1DCA0-750A-4B93-AC93-1B4C6B4DA9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P21:Q27" firstHeaderRow="1" firstDataRow="1" firstDataCol="1"/>
  <pivotFields count="16">
    <pivotField showAll="0"/>
    <pivotField showAll="0"/>
    <pivotField numFmtId="164" showAll="0"/>
    <pivotField showAll="0"/>
    <pivotField showAll="0">
      <items count="6">
        <item x="0"/>
        <item x="3"/>
        <item x="2"/>
        <item x="4"/>
        <item x="1"/>
        <item t="default"/>
      </items>
    </pivotField>
    <pivotField axis="axisRow"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items count="7">
        <item x="3"/>
        <item x="1"/>
        <item x="5"/>
        <item x="0"/>
        <item x="2"/>
        <item x="4"/>
        <item t="default"/>
      </items>
    </pivotField>
    <pivotField numFmtId="1" showAll="0"/>
    <pivotField dataField="1" numFmtId="1" showAll="0"/>
    <pivotField numFmtId="165" showAll="0"/>
    <pivotField showAll="0">
      <items count="6">
        <item x="3"/>
        <item x="4"/>
        <item x="0"/>
        <item x="2"/>
        <item x="1"/>
        <item t="default"/>
      </items>
    </pivotField>
    <pivotField showAll="0"/>
    <pivotField numFmtId="165" showAll="0"/>
    <pivotField numFmtId="165" showAll="0"/>
    <pivotField numFmtId="165" showAll="0"/>
    <pivotField showAll="0"/>
  </pivotFields>
  <rowFields count="1">
    <field x="5"/>
  </rowFields>
  <rowItems count="6">
    <i>
      <x v="4"/>
    </i>
    <i>
      <x v="3"/>
    </i>
    <i>
      <x/>
    </i>
    <i>
      <x v="1"/>
    </i>
    <i>
      <x v="2"/>
    </i>
    <i t="grand">
      <x/>
    </i>
  </rowItems>
  <colItems count="1">
    <i/>
  </colItems>
  <dataFields count="1">
    <dataField name="Sum of Quantity Returned" fld="8" baseField="0" baseItem="0" numFmtId="1"/>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6940D4-2EE9-4FB9-B28D-2FFD11F039F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Return by reason">
  <location ref="C13:C14" firstHeaderRow="1" firstDataRow="1" firstDataCol="0"/>
  <pivotFields count="16">
    <pivotField showAll="0"/>
    <pivotField showAll="0"/>
    <pivotField numFmtId="164" showAll="0"/>
    <pivotField showAll="0"/>
    <pivotField showAll="0"/>
    <pivotField showAll="0">
      <items count="6">
        <item x="3"/>
        <item x="0"/>
        <item x="2"/>
        <item x="4"/>
        <item x="1"/>
        <item t="default"/>
      </items>
    </pivotField>
    <pivotField showAll="0">
      <items count="7">
        <item x="3"/>
        <item x="1"/>
        <item x="5"/>
        <item x="0"/>
        <item x="2"/>
        <item x="4"/>
        <item t="default"/>
      </items>
    </pivotField>
    <pivotField numFmtId="1" showAll="0"/>
    <pivotField numFmtId="1" showAll="0"/>
    <pivotField numFmtId="165" showAll="0"/>
    <pivotField showAll="0">
      <items count="6">
        <item x="3"/>
        <item x="4"/>
        <item x="0"/>
        <item x="2"/>
        <item x="1"/>
        <item t="default"/>
      </items>
    </pivotField>
    <pivotField showAll="0"/>
    <pivotField numFmtId="165" showAll="0"/>
    <pivotField numFmtId="165" showAll="0"/>
    <pivotField dataField="1" numFmtId="165" showAll="0"/>
    <pivotField showAll="0"/>
  </pivotFields>
  <rowItems count="1">
    <i/>
  </rowItems>
  <colItems count="1">
    <i/>
  </colItems>
  <dataFields count="1">
    <dataField name="Sum of Net Refund"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C3B483-300F-4264-B6D8-7D57E70324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turn by reason">
  <location ref="E4:F10" firstHeaderRow="1" firstDataRow="1" firstDataCol="1"/>
  <pivotFields count="16">
    <pivotField showAll="0"/>
    <pivotField showAll="0"/>
    <pivotField numFmtId="164" showAll="0"/>
    <pivotField showAll="0"/>
    <pivotField showAll="0"/>
    <pivotField showAll="0">
      <items count="6">
        <item x="3"/>
        <item x="0"/>
        <item x="2"/>
        <item x="4"/>
        <item x="1"/>
        <item t="default"/>
      </items>
    </pivotField>
    <pivotField showAll="0">
      <items count="7">
        <item x="3"/>
        <item x="1"/>
        <item x="5"/>
        <item x="0"/>
        <item x="2"/>
        <item x="4"/>
        <item t="default"/>
      </items>
    </pivotField>
    <pivotField numFmtId="1" showAll="0"/>
    <pivotField dataField="1" numFmtId="1" showAll="0"/>
    <pivotField numFmtId="165"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showAll="0"/>
  </pivotFields>
  <rowFields count="1">
    <field x="10"/>
  </rowFields>
  <rowItems count="6">
    <i>
      <x v="3"/>
    </i>
    <i>
      <x v="4"/>
    </i>
    <i>
      <x/>
    </i>
    <i>
      <x v="1"/>
    </i>
    <i>
      <x v="2"/>
    </i>
    <i t="grand">
      <x/>
    </i>
  </rowItems>
  <colItems count="1">
    <i/>
  </colItems>
  <dataFields count="1">
    <dataField name="Total Quantity Returned" fld="8" baseField="0" baseItem="0" numFmtId="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9654E1-2349-45DA-BF38-6C9F6C5385E5}" sourceName="Region">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s>
  <data>
    <tabular pivotCacheId="1568079786">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BD1F38A6-F816-4625-B074-34985F4C22AD}" sourceName="Sales Rep">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s>
  <data>
    <tabular pivotCacheId="1568079786">
      <items count="6">
        <i x="3" s="1"/>
        <i x="1" s="1"/>
        <i x="5"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9962C5-D9E5-40A6-9514-3268C608EE1B}" cache="Slicer_Region" caption="Region" rowHeight="241300"/>
  <slicer name="Sales Rep" xr10:uid="{ABF33C11-FA09-412E-BA5F-2B66D78739F7}" cache="Slicer_Sales_Rep" caption="Sales 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C3A8A43-C30D-4756-8644-A564580E436E}" cache="Slicer_Region" caption="Region" style="SlicerStyleDark6" rowHeight="457200"/>
  <slicer name="Sales Rep 2" xr10:uid="{266D8C27-CB50-4E5C-8E1F-C27135BCFF47}" cache="Slicer_Sales_Rep" caption="Sales Rep" style="SlicerStyleDark6"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FE935B-5535-403D-9D2F-C607903D1E7A}" name="SalesReturnsTable" displayName="SalesReturnsTable" ref="A1:P41">
  <tableColumns count="16">
    <tableColumn id="1" xr3:uid="{8064A4D1-E543-476A-9A7A-00729319BF87}" name="Return ID"/>
    <tableColumn id="2" xr3:uid="{3EC40475-E500-4CBE-839E-C2C9E20AEFE6}" name="Order ID"/>
    <tableColumn id="3" xr3:uid="{5FD384F9-142A-47CD-B67A-ABE148DF6D9F}" name="Return Date"/>
    <tableColumn id="4" xr3:uid="{C5741592-FDB2-456E-8BA8-56CA35BC9A75}" name="Product"/>
    <tableColumn id="5" xr3:uid="{1BCA2E29-FF79-48E7-ADC5-4957FCB49535}" name="Category"/>
    <tableColumn id="6" xr3:uid="{9C9205EA-D3F5-4B00-866F-B7144E43B46B}" name="Region"/>
    <tableColumn id="7" xr3:uid="{0D0F4C71-C516-4C8D-9EF8-00FF8141D193}" name="Sales Rep"/>
    <tableColumn id="8" xr3:uid="{9A9D733E-3D5A-4A9F-9A3A-9359AF3F60E2}" name="Quantity Sold"/>
    <tableColumn id="9" xr3:uid="{F00B4143-4FB3-4053-ADA1-4A5C8BF60F42}" name="Quantity Returned"/>
    <tableColumn id="10" xr3:uid="{D3C4F905-87AB-48CA-BA64-600F6F426939}" name="Unit Price"/>
    <tableColumn id="11" xr3:uid="{E835ED12-A7E1-40FA-A132-5B315579814D}" name="Return Reason"/>
    <tableColumn id="12" xr3:uid="{A0FC3067-7C63-42CF-8892-4C379B55DF83}" name="Return Status"/>
    <tableColumn id="13" xr3:uid="{6AB0F622-9FED-4E16-A2A8-0832FFA6229B}" name="Refund Amount">
      <calculatedColumnFormula>I2*J2</calculatedColumnFormula>
    </tableColumn>
    <tableColumn id="14" xr3:uid="{8C4423AC-FD5F-45FA-8F92-E3A3D172FA97}" name="Restocking Fee">
      <calculatedColumnFormula>IF(L2="Approved",M2*5%,0)</calculatedColumnFormula>
    </tableColumn>
    <tableColumn id="15" xr3:uid="{B465918D-242B-4439-95C4-F785E125E494}" name="Net Refund">
      <calculatedColumnFormula>IF(L2="Approved",M2-N2,0)</calculatedColumnFormula>
    </tableColumn>
    <tableColumn id="16" xr3:uid="{64451C7C-8AC7-427E-99B3-93BFB3AF8255}" name="Customer Feedba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75C9-B923-4D3B-B960-8ACEC0174334}">
  <dimension ref="A1:P41"/>
  <sheetViews>
    <sheetView topLeftCell="K36" workbookViewId="0">
      <selection activeCell="N35" sqref="N35"/>
    </sheetView>
  </sheetViews>
  <sheetFormatPr defaultRowHeight="14.5"/>
  <cols>
    <col min="1" max="16" width="22.2695312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3">
        <v>46076</v>
      </c>
      <c r="D2" s="2" t="s">
        <v>18</v>
      </c>
      <c r="E2" s="2" t="s">
        <v>19</v>
      </c>
      <c r="F2" s="2" t="s">
        <v>20</v>
      </c>
      <c r="G2" s="2" t="s">
        <v>21</v>
      </c>
      <c r="H2" s="4">
        <v>22</v>
      </c>
      <c r="I2" s="4">
        <v>2</v>
      </c>
      <c r="J2" s="5">
        <v>21.05</v>
      </c>
      <c r="K2" s="2" t="s">
        <v>22</v>
      </c>
      <c r="L2" s="2" t="s">
        <v>23</v>
      </c>
      <c r="M2" s="5">
        <f t="shared" ref="M2:M41" si="0">I2*J2</f>
        <v>42.1</v>
      </c>
      <c r="N2" s="5">
        <f t="shared" ref="N2:N41" si="1">IF(L2="Approved",M2*5%,0)</f>
        <v>0</v>
      </c>
      <c r="O2" s="5">
        <f t="shared" ref="O2:O41" si="2">IF(L2="Approved",M2-N2,0)</f>
        <v>0</v>
      </c>
      <c r="P2" s="6" t="s">
        <v>24</v>
      </c>
    </row>
    <row r="3" spans="1:16">
      <c r="A3" s="2" t="s">
        <v>25</v>
      </c>
      <c r="B3" s="2" t="s">
        <v>26</v>
      </c>
      <c r="C3" s="3">
        <v>46178</v>
      </c>
      <c r="D3" s="2" t="s">
        <v>27</v>
      </c>
      <c r="E3" s="2" t="s">
        <v>28</v>
      </c>
      <c r="F3" s="2" t="s">
        <v>29</v>
      </c>
      <c r="G3" s="2" t="s">
        <v>30</v>
      </c>
      <c r="H3" s="4">
        <v>37</v>
      </c>
      <c r="I3" s="4">
        <v>6</v>
      </c>
      <c r="J3" s="5">
        <v>0.52</v>
      </c>
      <c r="K3" s="2" t="s">
        <v>31</v>
      </c>
      <c r="L3" s="2" t="s">
        <v>32</v>
      </c>
      <c r="M3" s="5">
        <f t="shared" si="0"/>
        <v>3.12</v>
      </c>
      <c r="N3" s="5">
        <f t="shared" si="1"/>
        <v>0.15600000000000003</v>
      </c>
      <c r="O3" s="5">
        <f t="shared" si="2"/>
        <v>2.964</v>
      </c>
      <c r="P3" s="6" t="s">
        <v>33</v>
      </c>
    </row>
    <row r="4" spans="1:16" ht="29">
      <c r="A4" s="2" t="s">
        <v>34</v>
      </c>
      <c r="B4" s="2" t="s">
        <v>35</v>
      </c>
      <c r="C4" s="3">
        <v>46095</v>
      </c>
      <c r="D4" s="2" t="s">
        <v>36</v>
      </c>
      <c r="E4" s="2" t="s">
        <v>37</v>
      </c>
      <c r="F4" s="2" t="s">
        <v>38</v>
      </c>
      <c r="G4" s="2" t="s">
        <v>39</v>
      </c>
      <c r="H4" s="4">
        <v>8</v>
      </c>
      <c r="I4" s="4">
        <v>1</v>
      </c>
      <c r="J4" s="5">
        <v>83.19</v>
      </c>
      <c r="K4" s="2" t="s">
        <v>40</v>
      </c>
      <c r="L4" s="2" t="s">
        <v>23</v>
      </c>
      <c r="M4" s="5">
        <f>I4*J4</f>
        <v>83.19</v>
      </c>
      <c r="N4" s="5">
        <f t="shared" si="1"/>
        <v>0</v>
      </c>
      <c r="O4" s="5">
        <f>IF(L4="Approved",M4-N4,0)</f>
        <v>0</v>
      </c>
      <c r="P4" s="6" t="s">
        <v>41</v>
      </c>
    </row>
    <row r="5" spans="1:16">
      <c r="A5" s="2" t="s">
        <v>42</v>
      </c>
      <c r="B5" s="2" t="s">
        <v>43</v>
      </c>
      <c r="C5" s="3">
        <v>46103</v>
      </c>
      <c r="D5" s="2" t="s">
        <v>44</v>
      </c>
      <c r="E5" s="2" t="s">
        <v>45</v>
      </c>
      <c r="F5" s="2" t="s">
        <v>46</v>
      </c>
      <c r="G5" s="2" t="s">
        <v>21</v>
      </c>
      <c r="H5" s="4">
        <v>4</v>
      </c>
      <c r="I5" s="4">
        <v>4</v>
      </c>
      <c r="J5" s="5">
        <v>454.15</v>
      </c>
      <c r="K5" s="2" t="s">
        <v>31</v>
      </c>
      <c r="L5" s="2" t="s">
        <v>23</v>
      </c>
      <c r="M5" s="5">
        <f t="shared" si="0"/>
        <v>1816.6</v>
      </c>
      <c r="N5" s="5">
        <f t="shared" si="1"/>
        <v>0</v>
      </c>
      <c r="O5" s="5">
        <f t="shared" si="2"/>
        <v>0</v>
      </c>
      <c r="P5" s="6" t="s">
        <v>33</v>
      </c>
    </row>
    <row r="6" spans="1:16" ht="29">
      <c r="A6" s="2" t="s">
        <v>47</v>
      </c>
      <c r="B6" s="2" t="s">
        <v>48</v>
      </c>
      <c r="C6" s="3">
        <v>46100</v>
      </c>
      <c r="D6" s="2" t="s">
        <v>36</v>
      </c>
      <c r="E6" s="2" t="s">
        <v>37</v>
      </c>
      <c r="F6" s="2" t="s">
        <v>20</v>
      </c>
      <c r="G6" s="2" t="s">
        <v>49</v>
      </c>
      <c r="H6" s="4">
        <v>22</v>
      </c>
      <c r="I6" s="4">
        <v>2</v>
      </c>
      <c r="J6" s="5">
        <v>91.14</v>
      </c>
      <c r="K6" s="2" t="s">
        <v>40</v>
      </c>
      <c r="L6" s="2" t="s">
        <v>23</v>
      </c>
      <c r="M6" s="5">
        <f t="shared" si="0"/>
        <v>182.28</v>
      </c>
      <c r="N6" s="5">
        <f t="shared" si="1"/>
        <v>0</v>
      </c>
      <c r="O6" s="5">
        <f t="shared" si="2"/>
        <v>0</v>
      </c>
      <c r="P6" s="6" t="s">
        <v>41</v>
      </c>
    </row>
    <row r="7" spans="1:16" ht="29">
      <c r="A7" s="2" t="s">
        <v>50</v>
      </c>
      <c r="B7" s="2" t="s">
        <v>51</v>
      </c>
      <c r="C7" s="3">
        <v>46137</v>
      </c>
      <c r="D7" s="2" t="s">
        <v>52</v>
      </c>
      <c r="E7" s="2" t="s">
        <v>37</v>
      </c>
      <c r="F7" s="2" t="s">
        <v>29</v>
      </c>
      <c r="G7" s="2" t="s">
        <v>21</v>
      </c>
      <c r="H7" s="4">
        <v>3</v>
      </c>
      <c r="I7" s="4">
        <v>1</v>
      </c>
      <c r="J7" s="5">
        <v>153.07</v>
      </c>
      <c r="K7" s="2" t="s">
        <v>40</v>
      </c>
      <c r="L7" s="2" t="s">
        <v>23</v>
      </c>
      <c r="M7" s="5">
        <f t="shared" si="0"/>
        <v>153.07</v>
      </c>
      <c r="N7" s="5">
        <f t="shared" si="1"/>
        <v>0</v>
      </c>
      <c r="O7" s="5">
        <f t="shared" si="2"/>
        <v>0</v>
      </c>
      <c r="P7" s="6" t="s">
        <v>41</v>
      </c>
    </row>
    <row r="8" spans="1:16">
      <c r="A8" s="2" t="s">
        <v>53</v>
      </c>
      <c r="B8" s="2" t="s">
        <v>54</v>
      </c>
      <c r="C8" s="3">
        <v>46056</v>
      </c>
      <c r="D8" s="2" t="s">
        <v>55</v>
      </c>
      <c r="E8" s="2" t="s">
        <v>56</v>
      </c>
      <c r="F8" s="2" t="s">
        <v>20</v>
      </c>
      <c r="G8" s="2" t="s">
        <v>57</v>
      </c>
      <c r="H8" s="4">
        <v>20</v>
      </c>
      <c r="I8" s="4">
        <v>4</v>
      </c>
      <c r="J8" s="5">
        <v>5.54</v>
      </c>
      <c r="K8" s="2" t="s">
        <v>22</v>
      </c>
      <c r="L8" s="2" t="s">
        <v>23</v>
      </c>
      <c r="M8" s="5">
        <f t="shared" si="0"/>
        <v>22.16</v>
      </c>
      <c r="N8" s="5">
        <f t="shared" si="1"/>
        <v>0</v>
      </c>
      <c r="O8" s="5">
        <f t="shared" si="2"/>
        <v>0</v>
      </c>
      <c r="P8" s="6" t="s">
        <v>24</v>
      </c>
    </row>
    <row r="9" spans="1:16" ht="29">
      <c r="A9" s="2" t="s">
        <v>58</v>
      </c>
      <c r="B9" s="2" t="s">
        <v>59</v>
      </c>
      <c r="C9" s="3">
        <v>46109</v>
      </c>
      <c r="D9" s="2" t="s">
        <v>60</v>
      </c>
      <c r="E9" s="2" t="s">
        <v>28</v>
      </c>
      <c r="F9" s="2" t="s">
        <v>61</v>
      </c>
      <c r="G9" s="2" t="s">
        <v>21</v>
      </c>
      <c r="H9" s="4">
        <v>21</v>
      </c>
      <c r="I9" s="4">
        <v>3</v>
      </c>
      <c r="J9" s="5">
        <v>2.5</v>
      </c>
      <c r="K9" s="2" t="s">
        <v>40</v>
      </c>
      <c r="L9" s="2" t="s">
        <v>32</v>
      </c>
      <c r="M9" s="5">
        <f t="shared" si="0"/>
        <v>7.5</v>
      </c>
      <c r="N9" s="5">
        <f t="shared" si="1"/>
        <v>0.375</v>
      </c>
      <c r="O9" s="5">
        <f t="shared" si="2"/>
        <v>7.125</v>
      </c>
      <c r="P9" s="6" t="s">
        <v>41</v>
      </c>
    </row>
    <row r="10" spans="1:16">
      <c r="A10" s="2" t="s">
        <v>62</v>
      </c>
      <c r="B10" s="2" t="s">
        <v>63</v>
      </c>
      <c r="C10" s="3">
        <v>46060</v>
      </c>
      <c r="D10" s="2" t="s">
        <v>36</v>
      </c>
      <c r="E10" s="2" t="s">
        <v>37</v>
      </c>
      <c r="F10" s="2" t="s">
        <v>20</v>
      </c>
      <c r="G10" s="2" t="s">
        <v>49</v>
      </c>
      <c r="H10" s="4">
        <v>20</v>
      </c>
      <c r="I10" s="4">
        <v>6</v>
      </c>
      <c r="J10" s="5">
        <v>82.27</v>
      </c>
      <c r="K10" s="2" t="s">
        <v>64</v>
      </c>
      <c r="L10" s="2" t="s">
        <v>65</v>
      </c>
      <c r="M10" s="5">
        <f t="shared" si="0"/>
        <v>493.62</v>
      </c>
      <c r="N10" s="5">
        <f t="shared" si="1"/>
        <v>0</v>
      </c>
      <c r="O10" s="5">
        <f t="shared" si="2"/>
        <v>0</v>
      </c>
      <c r="P10" s="6" t="s">
        <v>66</v>
      </c>
    </row>
    <row r="11" spans="1:16">
      <c r="A11" s="2" t="s">
        <v>67</v>
      </c>
      <c r="B11" s="2" t="s">
        <v>68</v>
      </c>
      <c r="C11" s="3">
        <v>46085</v>
      </c>
      <c r="D11" s="2" t="s">
        <v>27</v>
      </c>
      <c r="E11" s="2" t="s">
        <v>28</v>
      </c>
      <c r="F11" s="2" t="s">
        <v>61</v>
      </c>
      <c r="G11" s="2" t="s">
        <v>39</v>
      </c>
      <c r="H11" s="4">
        <v>49</v>
      </c>
      <c r="I11" s="4">
        <v>1</v>
      </c>
      <c r="J11" s="5">
        <v>0.48</v>
      </c>
      <c r="K11" s="2" t="s">
        <v>31</v>
      </c>
      <c r="L11" s="2" t="s">
        <v>32</v>
      </c>
      <c r="M11" s="5">
        <f t="shared" si="0"/>
        <v>0.48</v>
      </c>
      <c r="N11" s="5">
        <f t="shared" si="1"/>
        <v>2.4E-2</v>
      </c>
      <c r="O11" s="5">
        <f t="shared" si="2"/>
        <v>0.45599999999999996</v>
      </c>
      <c r="P11" s="6" t="s">
        <v>33</v>
      </c>
    </row>
    <row r="12" spans="1:16">
      <c r="A12" s="2" t="s">
        <v>69</v>
      </c>
      <c r="B12" s="2" t="s">
        <v>70</v>
      </c>
      <c r="C12" s="3">
        <v>46179</v>
      </c>
      <c r="D12" s="2" t="s">
        <v>18</v>
      </c>
      <c r="E12" s="2" t="s">
        <v>19</v>
      </c>
      <c r="F12" s="2" t="s">
        <v>38</v>
      </c>
      <c r="G12" s="2" t="s">
        <v>39</v>
      </c>
      <c r="H12" s="4">
        <v>8</v>
      </c>
      <c r="I12" s="4">
        <v>4</v>
      </c>
      <c r="J12" s="5">
        <v>21.33</v>
      </c>
      <c r="K12" s="2" t="s">
        <v>22</v>
      </c>
      <c r="L12" s="2" t="s">
        <v>23</v>
      </c>
      <c r="M12" s="5">
        <f t="shared" si="0"/>
        <v>85.32</v>
      </c>
      <c r="N12" s="5">
        <f t="shared" si="1"/>
        <v>0</v>
      </c>
      <c r="O12" s="5">
        <f t="shared" si="2"/>
        <v>0</v>
      </c>
      <c r="P12" s="6" t="s">
        <v>24</v>
      </c>
    </row>
    <row r="13" spans="1:16">
      <c r="A13" s="2" t="s">
        <v>71</v>
      </c>
      <c r="B13" s="2" t="s">
        <v>72</v>
      </c>
      <c r="C13" s="3">
        <v>46161</v>
      </c>
      <c r="D13" s="2" t="s">
        <v>52</v>
      </c>
      <c r="E13" s="2" t="s">
        <v>37</v>
      </c>
      <c r="F13" s="2" t="s">
        <v>20</v>
      </c>
      <c r="G13" s="2" t="s">
        <v>49</v>
      </c>
      <c r="H13" s="4">
        <v>6</v>
      </c>
      <c r="I13" s="4">
        <v>1</v>
      </c>
      <c r="J13" s="5">
        <v>134.94</v>
      </c>
      <c r="K13" s="2" t="s">
        <v>22</v>
      </c>
      <c r="L13" s="2" t="s">
        <v>32</v>
      </c>
      <c r="M13" s="5">
        <f t="shared" si="0"/>
        <v>134.94</v>
      </c>
      <c r="N13" s="5">
        <f t="shared" si="1"/>
        <v>6.7469999999999999</v>
      </c>
      <c r="O13" s="5">
        <f t="shared" si="2"/>
        <v>128.19299999999998</v>
      </c>
      <c r="P13" s="6" t="s">
        <v>24</v>
      </c>
    </row>
    <row r="14" spans="1:16">
      <c r="A14" s="2" t="s">
        <v>73</v>
      </c>
      <c r="B14" s="2" t="s">
        <v>74</v>
      </c>
      <c r="C14" s="3">
        <v>46162</v>
      </c>
      <c r="D14" s="2" t="s">
        <v>75</v>
      </c>
      <c r="E14" s="2" t="s">
        <v>45</v>
      </c>
      <c r="F14" s="2" t="s">
        <v>38</v>
      </c>
      <c r="G14" s="2" t="s">
        <v>21</v>
      </c>
      <c r="H14" s="4">
        <v>16</v>
      </c>
      <c r="I14" s="4">
        <v>2</v>
      </c>
      <c r="J14" s="5">
        <v>19.86</v>
      </c>
      <c r="K14" s="2" t="s">
        <v>64</v>
      </c>
      <c r="L14" s="2" t="s">
        <v>23</v>
      </c>
      <c r="M14" s="5">
        <f t="shared" si="0"/>
        <v>39.72</v>
      </c>
      <c r="N14" s="5">
        <f t="shared" si="1"/>
        <v>0</v>
      </c>
      <c r="O14" s="5">
        <f t="shared" si="2"/>
        <v>0</v>
      </c>
      <c r="P14" s="6" t="s">
        <v>66</v>
      </c>
    </row>
    <row r="15" spans="1:16" ht="29">
      <c r="A15" s="2" t="s">
        <v>76</v>
      </c>
      <c r="B15" s="2" t="s">
        <v>77</v>
      </c>
      <c r="C15" s="3">
        <v>46185</v>
      </c>
      <c r="D15" s="2" t="s">
        <v>27</v>
      </c>
      <c r="E15" s="2" t="s">
        <v>28</v>
      </c>
      <c r="F15" s="2" t="s">
        <v>61</v>
      </c>
      <c r="G15" s="2" t="s">
        <v>30</v>
      </c>
      <c r="H15" s="4">
        <v>23</v>
      </c>
      <c r="I15" s="4">
        <v>5</v>
      </c>
      <c r="J15" s="5">
        <v>0.54</v>
      </c>
      <c r="K15" s="2" t="s">
        <v>40</v>
      </c>
      <c r="L15" s="2" t="s">
        <v>32</v>
      </c>
      <c r="M15" s="5">
        <f t="shared" si="0"/>
        <v>2.7</v>
      </c>
      <c r="N15" s="5">
        <f t="shared" si="1"/>
        <v>0.13500000000000001</v>
      </c>
      <c r="O15" s="5">
        <f t="shared" si="2"/>
        <v>2.5650000000000004</v>
      </c>
      <c r="P15" s="6" t="s">
        <v>41</v>
      </c>
    </row>
    <row r="16" spans="1:16">
      <c r="A16" s="2" t="s">
        <v>78</v>
      </c>
      <c r="B16" s="2" t="s">
        <v>79</v>
      </c>
      <c r="C16" s="3">
        <v>46185</v>
      </c>
      <c r="D16" s="2" t="s">
        <v>55</v>
      </c>
      <c r="E16" s="2" t="s">
        <v>56</v>
      </c>
      <c r="F16" s="2" t="s">
        <v>29</v>
      </c>
      <c r="G16" s="2" t="s">
        <v>21</v>
      </c>
      <c r="H16" s="4">
        <v>41</v>
      </c>
      <c r="I16" s="4">
        <v>6</v>
      </c>
      <c r="J16" s="5">
        <v>6.56</v>
      </c>
      <c r="K16" s="2" t="s">
        <v>64</v>
      </c>
      <c r="L16" s="2" t="s">
        <v>32</v>
      </c>
      <c r="M16" s="5">
        <f t="shared" si="0"/>
        <v>39.36</v>
      </c>
      <c r="N16" s="5">
        <f t="shared" si="1"/>
        <v>1.968</v>
      </c>
      <c r="O16" s="5">
        <f t="shared" si="2"/>
        <v>37.391999999999996</v>
      </c>
      <c r="P16" s="6" t="s">
        <v>66</v>
      </c>
    </row>
    <row r="17" spans="1:16">
      <c r="A17" s="2" t="s">
        <v>80</v>
      </c>
      <c r="B17" s="2" t="s">
        <v>81</v>
      </c>
      <c r="C17" s="3">
        <v>46166</v>
      </c>
      <c r="D17" s="2" t="s">
        <v>18</v>
      </c>
      <c r="E17" s="2" t="s">
        <v>19</v>
      </c>
      <c r="F17" s="2" t="s">
        <v>29</v>
      </c>
      <c r="G17" s="2" t="s">
        <v>39</v>
      </c>
      <c r="H17" s="4">
        <v>10</v>
      </c>
      <c r="I17" s="4">
        <v>6</v>
      </c>
      <c r="J17" s="5">
        <v>21.41</v>
      </c>
      <c r="K17" s="2" t="s">
        <v>22</v>
      </c>
      <c r="L17" s="2" t="s">
        <v>32</v>
      </c>
      <c r="M17" s="5">
        <f t="shared" si="0"/>
        <v>128.46</v>
      </c>
      <c r="N17" s="5">
        <f t="shared" si="1"/>
        <v>6.4230000000000009</v>
      </c>
      <c r="O17" s="5">
        <f t="shared" si="2"/>
        <v>122.03700000000001</v>
      </c>
      <c r="P17" s="6" t="s">
        <v>24</v>
      </c>
    </row>
    <row r="18" spans="1:16">
      <c r="A18" s="2" t="s">
        <v>82</v>
      </c>
      <c r="B18" s="2" t="s">
        <v>83</v>
      </c>
      <c r="C18" s="3">
        <v>46075</v>
      </c>
      <c r="D18" s="2" t="s">
        <v>44</v>
      </c>
      <c r="E18" s="2" t="s">
        <v>45</v>
      </c>
      <c r="F18" s="2" t="s">
        <v>61</v>
      </c>
      <c r="G18" s="2" t="s">
        <v>57</v>
      </c>
      <c r="H18" s="4">
        <v>7</v>
      </c>
      <c r="I18" s="4">
        <v>3</v>
      </c>
      <c r="J18" s="5">
        <v>413.8</v>
      </c>
      <c r="K18" s="2" t="s">
        <v>64</v>
      </c>
      <c r="L18" s="2" t="s">
        <v>23</v>
      </c>
      <c r="M18" s="5">
        <f t="shared" si="0"/>
        <v>1241.4000000000001</v>
      </c>
      <c r="N18" s="5">
        <f t="shared" si="1"/>
        <v>0</v>
      </c>
      <c r="O18" s="5">
        <f t="shared" si="2"/>
        <v>0</v>
      </c>
      <c r="P18" s="6" t="s">
        <v>66</v>
      </c>
    </row>
    <row r="19" spans="1:16" ht="29">
      <c r="A19" s="2" t="s">
        <v>84</v>
      </c>
      <c r="B19" s="2" t="s">
        <v>85</v>
      </c>
      <c r="C19" s="3">
        <v>46124</v>
      </c>
      <c r="D19" s="2" t="s">
        <v>75</v>
      </c>
      <c r="E19" s="2" t="s">
        <v>45</v>
      </c>
      <c r="F19" s="2" t="s">
        <v>46</v>
      </c>
      <c r="G19" s="2" t="s">
        <v>49</v>
      </c>
      <c r="H19" s="4">
        <v>50</v>
      </c>
      <c r="I19" s="4">
        <v>1</v>
      </c>
      <c r="J19" s="5">
        <v>19.88</v>
      </c>
      <c r="K19" s="2" t="s">
        <v>40</v>
      </c>
      <c r="L19" s="2" t="s">
        <v>32</v>
      </c>
      <c r="M19" s="5">
        <f t="shared" si="0"/>
        <v>19.88</v>
      </c>
      <c r="N19" s="5">
        <f t="shared" si="1"/>
        <v>0.99399999999999999</v>
      </c>
      <c r="O19" s="5">
        <f t="shared" si="2"/>
        <v>18.885999999999999</v>
      </c>
      <c r="P19" s="6" t="s">
        <v>41</v>
      </c>
    </row>
    <row r="20" spans="1:16">
      <c r="A20" s="2" t="s">
        <v>86</v>
      </c>
      <c r="B20" s="2" t="s">
        <v>87</v>
      </c>
      <c r="C20" s="3">
        <v>46057</v>
      </c>
      <c r="D20" s="2" t="s">
        <v>88</v>
      </c>
      <c r="E20" s="2" t="s">
        <v>45</v>
      </c>
      <c r="F20" s="2" t="s">
        <v>38</v>
      </c>
      <c r="G20" s="2" t="s">
        <v>89</v>
      </c>
      <c r="H20" s="4">
        <v>2</v>
      </c>
      <c r="I20" s="4">
        <v>2</v>
      </c>
      <c r="J20" s="5">
        <v>688.64</v>
      </c>
      <c r="K20" s="2" t="s">
        <v>64</v>
      </c>
      <c r="L20" s="2" t="s">
        <v>32</v>
      </c>
      <c r="M20" s="5">
        <f t="shared" si="0"/>
        <v>1377.28</v>
      </c>
      <c r="N20" s="5">
        <f t="shared" si="1"/>
        <v>68.864000000000004</v>
      </c>
      <c r="O20" s="5">
        <f t="shared" si="2"/>
        <v>1308.4159999999999</v>
      </c>
      <c r="P20" s="6" t="s">
        <v>66</v>
      </c>
    </row>
    <row r="21" spans="1:16">
      <c r="A21" s="2" t="s">
        <v>90</v>
      </c>
      <c r="B21" s="2" t="s">
        <v>91</v>
      </c>
      <c r="C21" s="3">
        <v>46180</v>
      </c>
      <c r="D21" s="2" t="s">
        <v>18</v>
      </c>
      <c r="E21" s="2" t="s">
        <v>19</v>
      </c>
      <c r="F21" s="2" t="s">
        <v>20</v>
      </c>
      <c r="G21" s="2" t="s">
        <v>21</v>
      </c>
      <c r="H21" s="4">
        <v>27</v>
      </c>
      <c r="I21" s="4">
        <v>1</v>
      </c>
      <c r="J21" s="5">
        <v>20.51</v>
      </c>
      <c r="K21" s="2" t="s">
        <v>22</v>
      </c>
      <c r="L21" s="2" t="s">
        <v>32</v>
      </c>
      <c r="M21" s="5">
        <f t="shared" si="0"/>
        <v>20.51</v>
      </c>
      <c r="N21" s="5">
        <f t="shared" si="1"/>
        <v>1.0255000000000001</v>
      </c>
      <c r="O21" s="5">
        <f t="shared" si="2"/>
        <v>19.484500000000001</v>
      </c>
      <c r="P21" s="6" t="s">
        <v>24</v>
      </c>
    </row>
    <row r="22" spans="1:16">
      <c r="A22" s="2" t="s">
        <v>92</v>
      </c>
      <c r="B22" s="2" t="s">
        <v>93</v>
      </c>
      <c r="C22" s="3">
        <v>46172</v>
      </c>
      <c r="D22" s="2" t="s">
        <v>18</v>
      </c>
      <c r="E22" s="2" t="s">
        <v>19</v>
      </c>
      <c r="F22" s="2" t="s">
        <v>61</v>
      </c>
      <c r="G22" s="2" t="s">
        <v>30</v>
      </c>
      <c r="H22" s="4">
        <v>40</v>
      </c>
      <c r="I22" s="4">
        <v>6</v>
      </c>
      <c r="J22" s="5">
        <v>24.63</v>
      </c>
      <c r="K22" s="2" t="s">
        <v>31</v>
      </c>
      <c r="L22" s="2" t="s">
        <v>65</v>
      </c>
      <c r="M22" s="5">
        <f t="shared" si="0"/>
        <v>147.78</v>
      </c>
      <c r="N22" s="5">
        <f t="shared" si="1"/>
        <v>0</v>
      </c>
      <c r="O22" s="5">
        <f t="shared" si="2"/>
        <v>0</v>
      </c>
      <c r="P22" s="6" t="s">
        <v>33</v>
      </c>
    </row>
    <row r="23" spans="1:16">
      <c r="A23" s="2" t="s">
        <v>94</v>
      </c>
      <c r="B23" s="2" t="s">
        <v>95</v>
      </c>
      <c r="C23" s="3">
        <v>46121</v>
      </c>
      <c r="D23" s="2" t="s">
        <v>18</v>
      </c>
      <c r="E23" s="2" t="s">
        <v>19</v>
      </c>
      <c r="F23" s="2" t="s">
        <v>29</v>
      </c>
      <c r="G23" s="2" t="s">
        <v>39</v>
      </c>
      <c r="H23" s="4">
        <v>21</v>
      </c>
      <c r="I23" s="4">
        <v>1</v>
      </c>
      <c r="J23" s="5">
        <v>21.04</v>
      </c>
      <c r="K23" s="2" t="s">
        <v>31</v>
      </c>
      <c r="L23" s="2" t="s">
        <v>32</v>
      </c>
      <c r="M23" s="5">
        <f t="shared" si="0"/>
        <v>21.04</v>
      </c>
      <c r="N23" s="5">
        <f t="shared" si="1"/>
        <v>1.052</v>
      </c>
      <c r="O23" s="5">
        <f t="shared" si="2"/>
        <v>19.988</v>
      </c>
      <c r="P23" s="6" t="s">
        <v>33</v>
      </c>
    </row>
    <row r="24" spans="1:16" ht="29">
      <c r="A24" s="2" t="s">
        <v>96</v>
      </c>
      <c r="B24" s="2" t="s">
        <v>97</v>
      </c>
      <c r="C24" s="3">
        <v>46080</v>
      </c>
      <c r="D24" s="2" t="s">
        <v>44</v>
      </c>
      <c r="E24" s="2" t="s">
        <v>45</v>
      </c>
      <c r="F24" s="2" t="s">
        <v>29</v>
      </c>
      <c r="G24" s="2" t="s">
        <v>39</v>
      </c>
      <c r="H24" s="4">
        <v>6</v>
      </c>
      <c r="I24" s="4">
        <v>1</v>
      </c>
      <c r="J24" s="5">
        <v>400.49</v>
      </c>
      <c r="K24" s="2" t="s">
        <v>98</v>
      </c>
      <c r="L24" s="2" t="s">
        <v>32</v>
      </c>
      <c r="M24" s="5">
        <f t="shared" si="0"/>
        <v>400.49</v>
      </c>
      <c r="N24" s="5">
        <f t="shared" si="1"/>
        <v>20.024500000000003</v>
      </c>
      <c r="O24" s="5">
        <f t="shared" si="2"/>
        <v>380.46550000000002</v>
      </c>
      <c r="P24" s="6" t="s">
        <v>99</v>
      </c>
    </row>
    <row r="25" spans="1:16" ht="29">
      <c r="A25" s="2" t="s">
        <v>100</v>
      </c>
      <c r="B25" s="2" t="s">
        <v>101</v>
      </c>
      <c r="C25" s="3">
        <v>46066</v>
      </c>
      <c r="D25" s="2" t="s">
        <v>27</v>
      </c>
      <c r="E25" s="2" t="s">
        <v>28</v>
      </c>
      <c r="F25" s="2" t="s">
        <v>20</v>
      </c>
      <c r="G25" s="2" t="s">
        <v>30</v>
      </c>
      <c r="H25" s="4">
        <v>35</v>
      </c>
      <c r="I25" s="4">
        <v>8</v>
      </c>
      <c r="J25" s="5">
        <v>0.48</v>
      </c>
      <c r="K25" s="2" t="s">
        <v>40</v>
      </c>
      <c r="L25" s="2" t="s">
        <v>65</v>
      </c>
      <c r="M25" s="5">
        <f t="shared" si="0"/>
        <v>3.84</v>
      </c>
      <c r="N25" s="5">
        <f t="shared" si="1"/>
        <v>0</v>
      </c>
      <c r="O25" s="5">
        <f t="shared" si="2"/>
        <v>0</v>
      </c>
      <c r="P25" s="6" t="s">
        <v>41</v>
      </c>
    </row>
    <row r="26" spans="1:16" ht="29">
      <c r="A26" s="2" t="s">
        <v>102</v>
      </c>
      <c r="B26" s="2" t="s">
        <v>103</v>
      </c>
      <c r="C26" s="3">
        <v>46064</v>
      </c>
      <c r="D26" s="2" t="s">
        <v>55</v>
      </c>
      <c r="E26" s="2" t="s">
        <v>56</v>
      </c>
      <c r="F26" s="2" t="s">
        <v>46</v>
      </c>
      <c r="G26" s="2" t="s">
        <v>49</v>
      </c>
      <c r="H26" s="4">
        <v>35</v>
      </c>
      <c r="I26" s="4">
        <v>4</v>
      </c>
      <c r="J26" s="5">
        <v>5.56</v>
      </c>
      <c r="K26" s="2" t="s">
        <v>98</v>
      </c>
      <c r="L26" s="2" t="s">
        <v>32</v>
      </c>
      <c r="M26" s="5">
        <f t="shared" si="0"/>
        <v>22.24</v>
      </c>
      <c r="N26" s="5">
        <f t="shared" si="1"/>
        <v>1.1119999999999999</v>
      </c>
      <c r="O26" s="5">
        <f t="shared" si="2"/>
        <v>21.128</v>
      </c>
      <c r="P26" s="6" t="s">
        <v>99</v>
      </c>
    </row>
    <row r="27" spans="1:16" ht="29">
      <c r="A27" s="2" t="s">
        <v>104</v>
      </c>
      <c r="B27" s="2" t="s">
        <v>105</v>
      </c>
      <c r="C27" s="3">
        <v>46062</v>
      </c>
      <c r="D27" s="2" t="s">
        <v>106</v>
      </c>
      <c r="E27" s="2" t="s">
        <v>56</v>
      </c>
      <c r="F27" s="2" t="s">
        <v>38</v>
      </c>
      <c r="G27" s="2" t="s">
        <v>30</v>
      </c>
      <c r="H27" s="4">
        <v>31</v>
      </c>
      <c r="I27" s="4">
        <v>5</v>
      </c>
      <c r="J27" s="5">
        <v>76.540000000000006</v>
      </c>
      <c r="K27" s="2" t="s">
        <v>98</v>
      </c>
      <c r="L27" s="2" t="s">
        <v>32</v>
      </c>
      <c r="M27" s="5">
        <f t="shared" si="0"/>
        <v>382.70000000000005</v>
      </c>
      <c r="N27" s="5">
        <f t="shared" si="1"/>
        <v>19.135000000000002</v>
      </c>
      <c r="O27" s="5">
        <f t="shared" si="2"/>
        <v>363.56500000000005</v>
      </c>
      <c r="P27" s="6" t="s">
        <v>99</v>
      </c>
    </row>
    <row r="28" spans="1:16">
      <c r="A28" s="2" t="s">
        <v>107</v>
      </c>
      <c r="B28" s="2" t="s">
        <v>108</v>
      </c>
      <c r="C28" s="3">
        <v>46152</v>
      </c>
      <c r="D28" s="2" t="s">
        <v>44</v>
      </c>
      <c r="E28" s="2" t="s">
        <v>45</v>
      </c>
      <c r="F28" s="2" t="s">
        <v>61</v>
      </c>
      <c r="G28" s="2" t="s">
        <v>21</v>
      </c>
      <c r="H28" s="4">
        <v>4</v>
      </c>
      <c r="I28" s="4">
        <v>2</v>
      </c>
      <c r="J28" s="5">
        <v>456.95</v>
      </c>
      <c r="K28" s="2" t="s">
        <v>64</v>
      </c>
      <c r="L28" s="2" t="s">
        <v>32</v>
      </c>
      <c r="M28" s="5">
        <f t="shared" si="0"/>
        <v>913.9</v>
      </c>
      <c r="N28" s="5">
        <f t="shared" si="1"/>
        <v>45.695</v>
      </c>
      <c r="O28" s="5">
        <f t="shared" si="2"/>
        <v>868.20499999999993</v>
      </c>
      <c r="P28" s="6" t="s">
        <v>66</v>
      </c>
    </row>
    <row r="29" spans="1:16" ht="29">
      <c r="A29" s="2" t="s">
        <v>109</v>
      </c>
      <c r="B29" s="2" t="s">
        <v>110</v>
      </c>
      <c r="C29" s="3">
        <v>46136</v>
      </c>
      <c r="D29" s="2" t="s">
        <v>88</v>
      </c>
      <c r="E29" s="2" t="s">
        <v>45</v>
      </c>
      <c r="F29" s="2" t="s">
        <v>46</v>
      </c>
      <c r="G29" s="2" t="s">
        <v>39</v>
      </c>
      <c r="H29" s="4">
        <v>7</v>
      </c>
      <c r="I29" s="4">
        <v>1</v>
      </c>
      <c r="J29" s="5">
        <v>688.21</v>
      </c>
      <c r="K29" s="2" t="s">
        <v>40</v>
      </c>
      <c r="L29" s="2" t="s">
        <v>32</v>
      </c>
      <c r="M29" s="5">
        <f t="shared" si="0"/>
        <v>688.21</v>
      </c>
      <c r="N29" s="5">
        <f t="shared" si="1"/>
        <v>34.410500000000006</v>
      </c>
      <c r="O29" s="5">
        <f t="shared" si="2"/>
        <v>653.79950000000008</v>
      </c>
      <c r="P29" s="6" t="s">
        <v>41</v>
      </c>
    </row>
    <row r="30" spans="1:16" ht="29">
      <c r="A30" s="2" t="s">
        <v>111</v>
      </c>
      <c r="B30" s="2" t="s">
        <v>112</v>
      </c>
      <c r="C30" s="3">
        <v>46142</v>
      </c>
      <c r="D30" s="2" t="s">
        <v>60</v>
      </c>
      <c r="E30" s="2" t="s">
        <v>28</v>
      </c>
      <c r="F30" s="2" t="s">
        <v>61</v>
      </c>
      <c r="G30" s="2" t="s">
        <v>39</v>
      </c>
      <c r="H30" s="4">
        <v>20</v>
      </c>
      <c r="I30" s="4">
        <v>6</v>
      </c>
      <c r="J30" s="5">
        <v>2.59</v>
      </c>
      <c r="K30" s="2" t="s">
        <v>98</v>
      </c>
      <c r="L30" s="2" t="s">
        <v>32</v>
      </c>
      <c r="M30" s="5">
        <f t="shared" si="0"/>
        <v>15.54</v>
      </c>
      <c r="N30" s="5">
        <f t="shared" si="1"/>
        <v>0.77700000000000002</v>
      </c>
      <c r="O30" s="5">
        <f t="shared" si="2"/>
        <v>14.763</v>
      </c>
      <c r="P30" s="6" t="s">
        <v>99</v>
      </c>
    </row>
    <row r="31" spans="1:16">
      <c r="A31" s="2" t="s">
        <v>113</v>
      </c>
      <c r="B31" s="2" t="s">
        <v>114</v>
      </c>
      <c r="C31" s="3">
        <v>46091</v>
      </c>
      <c r="D31" s="2" t="s">
        <v>18</v>
      </c>
      <c r="E31" s="2" t="s">
        <v>19</v>
      </c>
      <c r="F31" s="2" t="s">
        <v>29</v>
      </c>
      <c r="G31" s="2" t="s">
        <v>30</v>
      </c>
      <c r="H31" s="4">
        <v>25</v>
      </c>
      <c r="I31" s="4">
        <v>2</v>
      </c>
      <c r="J31" s="5">
        <v>21.43</v>
      </c>
      <c r="K31" s="2" t="s">
        <v>31</v>
      </c>
      <c r="L31" s="2" t="s">
        <v>32</v>
      </c>
      <c r="M31" s="5">
        <f t="shared" si="0"/>
        <v>42.86</v>
      </c>
      <c r="N31" s="5">
        <f t="shared" si="1"/>
        <v>2.1430000000000002</v>
      </c>
      <c r="O31" s="5">
        <f t="shared" si="2"/>
        <v>40.716999999999999</v>
      </c>
      <c r="P31" s="6" t="s">
        <v>33</v>
      </c>
    </row>
    <row r="32" spans="1:16">
      <c r="A32" s="2" t="s">
        <v>115</v>
      </c>
      <c r="B32" s="2" t="s">
        <v>116</v>
      </c>
      <c r="C32" s="3">
        <v>46203</v>
      </c>
      <c r="D32" s="2" t="s">
        <v>75</v>
      </c>
      <c r="E32" s="2" t="s">
        <v>45</v>
      </c>
      <c r="F32" s="2" t="s">
        <v>20</v>
      </c>
      <c r="G32" s="2" t="s">
        <v>30</v>
      </c>
      <c r="H32" s="4">
        <v>4</v>
      </c>
      <c r="I32" s="4">
        <v>1</v>
      </c>
      <c r="J32" s="5">
        <v>20.16</v>
      </c>
      <c r="K32" s="2" t="s">
        <v>64</v>
      </c>
      <c r="L32" s="2" t="s">
        <v>65</v>
      </c>
      <c r="M32" s="5">
        <f t="shared" si="0"/>
        <v>20.16</v>
      </c>
      <c r="N32" s="5">
        <f t="shared" si="1"/>
        <v>0</v>
      </c>
      <c r="O32" s="5">
        <f t="shared" si="2"/>
        <v>0</v>
      </c>
      <c r="P32" s="6" t="s">
        <v>66</v>
      </c>
    </row>
    <row r="33" spans="1:16" ht="29">
      <c r="A33" s="2" t="s">
        <v>117</v>
      </c>
      <c r="B33" s="2" t="s">
        <v>118</v>
      </c>
      <c r="C33" s="3">
        <v>46061</v>
      </c>
      <c r="D33" s="2" t="s">
        <v>75</v>
      </c>
      <c r="E33" s="2" t="s">
        <v>45</v>
      </c>
      <c r="F33" s="2" t="s">
        <v>29</v>
      </c>
      <c r="G33" s="2" t="s">
        <v>49</v>
      </c>
      <c r="H33" s="4">
        <v>1</v>
      </c>
      <c r="I33" s="4">
        <v>1</v>
      </c>
      <c r="J33" s="5">
        <v>18.96</v>
      </c>
      <c r="K33" s="2" t="s">
        <v>98</v>
      </c>
      <c r="L33" s="2" t="s">
        <v>23</v>
      </c>
      <c r="M33" s="5">
        <f t="shared" si="0"/>
        <v>18.96</v>
      </c>
      <c r="N33" s="5">
        <f t="shared" si="1"/>
        <v>0</v>
      </c>
      <c r="O33" s="5">
        <f t="shared" si="2"/>
        <v>0</v>
      </c>
      <c r="P33" s="6" t="s">
        <v>99</v>
      </c>
    </row>
    <row r="34" spans="1:16" ht="29">
      <c r="A34" s="2" t="s">
        <v>119</v>
      </c>
      <c r="B34" s="2" t="s">
        <v>120</v>
      </c>
      <c r="C34" s="3">
        <v>46030</v>
      </c>
      <c r="D34" s="2" t="s">
        <v>75</v>
      </c>
      <c r="E34" s="2" t="s">
        <v>45</v>
      </c>
      <c r="F34" s="2" t="s">
        <v>46</v>
      </c>
      <c r="G34" s="2" t="s">
        <v>49</v>
      </c>
      <c r="H34" s="4">
        <v>28</v>
      </c>
      <c r="I34" s="4">
        <v>1</v>
      </c>
      <c r="J34" s="5">
        <v>18.940000000000001</v>
      </c>
      <c r="K34" s="2" t="s">
        <v>40</v>
      </c>
      <c r="L34" s="2" t="s">
        <v>32</v>
      </c>
      <c r="M34" s="5">
        <f t="shared" si="0"/>
        <v>18.940000000000001</v>
      </c>
      <c r="N34" s="5">
        <f t="shared" si="1"/>
        <v>0.94700000000000006</v>
      </c>
      <c r="O34" s="5">
        <f t="shared" si="2"/>
        <v>17.993000000000002</v>
      </c>
      <c r="P34" s="6" t="s">
        <v>41</v>
      </c>
    </row>
    <row r="35" spans="1:16" ht="29">
      <c r="A35" s="2" t="s">
        <v>121</v>
      </c>
      <c r="B35" s="2" t="s">
        <v>122</v>
      </c>
      <c r="C35" s="3">
        <v>46046</v>
      </c>
      <c r="D35" s="2" t="s">
        <v>55</v>
      </c>
      <c r="E35" s="2" t="s">
        <v>56</v>
      </c>
      <c r="F35" s="2" t="s">
        <v>46</v>
      </c>
      <c r="G35" s="2" t="s">
        <v>39</v>
      </c>
      <c r="H35" s="4">
        <v>41</v>
      </c>
      <c r="I35" s="4">
        <v>6</v>
      </c>
      <c r="J35" s="5">
        <v>5.71</v>
      </c>
      <c r="K35" s="2" t="s">
        <v>98</v>
      </c>
      <c r="L35" s="2" t="s">
        <v>32</v>
      </c>
      <c r="M35" s="5">
        <f t="shared" si="0"/>
        <v>34.26</v>
      </c>
      <c r="N35" s="5">
        <f t="shared" si="1"/>
        <v>1.7130000000000001</v>
      </c>
      <c r="O35" s="5">
        <f t="shared" si="2"/>
        <v>32.546999999999997</v>
      </c>
      <c r="P35" s="6" t="s">
        <v>99</v>
      </c>
    </row>
    <row r="36" spans="1:16">
      <c r="A36" s="2" t="s">
        <v>123</v>
      </c>
      <c r="B36" s="2" t="s">
        <v>124</v>
      </c>
      <c r="C36" s="3">
        <v>46159</v>
      </c>
      <c r="D36" s="2" t="s">
        <v>27</v>
      </c>
      <c r="E36" s="2" t="s">
        <v>28</v>
      </c>
      <c r="F36" s="2" t="s">
        <v>29</v>
      </c>
      <c r="G36" s="2" t="s">
        <v>30</v>
      </c>
      <c r="H36" s="4">
        <v>11</v>
      </c>
      <c r="I36" s="4">
        <v>3</v>
      </c>
      <c r="J36" s="5">
        <v>0.46</v>
      </c>
      <c r="K36" s="2" t="s">
        <v>64</v>
      </c>
      <c r="L36" s="2" t="s">
        <v>32</v>
      </c>
      <c r="M36" s="5">
        <f t="shared" si="0"/>
        <v>1.3800000000000001</v>
      </c>
      <c r="N36" s="5">
        <f t="shared" si="1"/>
        <v>6.9000000000000006E-2</v>
      </c>
      <c r="O36" s="5">
        <f t="shared" si="2"/>
        <v>1.3110000000000002</v>
      </c>
      <c r="P36" s="6" t="s">
        <v>66</v>
      </c>
    </row>
    <row r="37" spans="1:16">
      <c r="A37" s="2" t="s">
        <v>125</v>
      </c>
      <c r="B37" s="2" t="s">
        <v>126</v>
      </c>
      <c r="C37" s="3">
        <v>46074</v>
      </c>
      <c r="D37" s="2" t="s">
        <v>52</v>
      </c>
      <c r="E37" s="2" t="s">
        <v>37</v>
      </c>
      <c r="F37" s="2" t="s">
        <v>46</v>
      </c>
      <c r="G37" s="2" t="s">
        <v>21</v>
      </c>
      <c r="H37" s="4">
        <v>8</v>
      </c>
      <c r="I37" s="4">
        <v>3</v>
      </c>
      <c r="J37" s="5">
        <v>142.28</v>
      </c>
      <c r="K37" s="2" t="s">
        <v>31</v>
      </c>
      <c r="L37" s="2" t="s">
        <v>32</v>
      </c>
      <c r="M37" s="5">
        <f t="shared" si="0"/>
        <v>426.84000000000003</v>
      </c>
      <c r="N37" s="5">
        <f t="shared" si="1"/>
        <v>21.342000000000002</v>
      </c>
      <c r="O37" s="5">
        <f t="shared" si="2"/>
        <v>405.49800000000005</v>
      </c>
      <c r="P37" s="6" t="s">
        <v>33</v>
      </c>
    </row>
    <row r="38" spans="1:16">
      <c r="A38" s="2" t="s">
        <v>127</v>
      </c>
      <c r="B38" s="2" t="s">
        <v>128</v>
      </c>
      <c r="C38" s="3">
        <v>46086</v>
      </c>
      <c r="D38" s="2" t="s">
        <v>75</v>
      </c>
      <c r="E38" s="2" t="s">
        <v>45</v>
      </c>
      <c r="F38" s="2" t="s">
        <v>46</v>
      </c>
      <c r="G38" s="2" t="s">
        <v>89</v>
      </c>
      <c r="H38" s="4">
        <v>27</v>
      </c>
      <c r="I38" s="4">
        <v>5</v>
      </c>
      <c r="J38" s="5">
        <v>17.350000000000001</v>
      </c>
      <c r="K38" s="2" t="s">
        <v>31</v>
      </c>
      <c r="L38" s="2" t="s">
        <v>32</v>
      </c>
      <c r="M38" s="5">
        <f t="shared" si="0"/>
        <v>86.75</v>
      </c>
      <c r="N38" s="5">
        <f t="shared" si="1"/>
        <v>4.3375000000000004</v>
      </c>
      <c r="O38" s="5">
        <f t="shared" si="2"/>
        <v>82.412499999999994</v>
      </c>
      <c r="P38" s="6" t="s">
        <v>33</v>
      </c>
    </row>
    <row r="39" spans="1:16" ht="29">
      <c r="A39" s="2" t="s">
        <v>129</v>
      </c>
      <c r="B39" s="2" t="s">
        <v>130</v>
      </c>
      <c r="C39" s="3">
        <v>46141</v>
      </c>
      <c r="D39" s="2" t="s">
        <v>60</v>
      </c>
      <c r="E39" s="2" t="s">
        <v>28</v>
      </c>
      <c r="F39" s="2" t="s">
        <v>29</v>
      </c>
      <c r="G39" s="2" t="s">
        <v>30</v>
      </c>
      <c r="H39" s="4">
        <v>44</v>
      </c>
      <c r="I39" s="4">
        <v>5</v>
      </c>
      <c r="J39" s="5">
        <v>2.63</v>
      </c>
      <c r="K39" s="2" t="s">
        <v>40</v>
      </c>
      <c r="L39" s="2" t="s">
        <v>32</v>
      </c>
      <c r="M39" s="5">
        <f t="shared" si="0"/>
        <v>13.149999999999999</v>
      </c>
      <c r="N39" s="5">
        <f t="shared" si="1"/>
        <v>0.65749999999999997</v>
      </c>
      <c r="O39" s="5">
        <f t="shared" si="2"/>
        <v>12.492499999999998</v>
      </c>
      <c r="P39" s="6" t="s">
        <v>41</v>
      </c>
    </row>
    <row r="40" spans="1:16" ht="29">
      <c r="A40" s="2" t="s">
        <v>131</v>
      </c>
      <c r="B40" s="2" t="s">
        <v>132</v>
      </c>
      <c r="C40" s="3">
        <v>46084</v>
      </c>
      <c r="D40" s="2" t="s">
        <v>75</v>
      </c>
      <c r="E40" s="2" t="s">
        <v>45</v>
      </c>
      <c r="F40" s="2" t="s">
        <v>29</v>
      </c>
      <c r="G40" s="2" t="s">
        <v>89</v>
      </c>
      <c r="H40" s="4">
        <v>10</v>
      </c>
      <c r="I40" s="4">
        <v>2</v>
      </c>
      <c r="J40" s="5">
        <v>17.54</v>
      </c>
      <c r="K40" s="2" t="s">
        <v>98</v>
      </c>
      <c r="L40" s="2" t="s">
        <v>32</v>
      </c>
      <c r="M40" s="5">
        <f t="shared" si="0"/>
        <v>35.08</v>
      </c>
      <c r="N40" s="5">
        <f t="shared" si="1"/>
        <v>1.754</v>
      </c>
      <c r="O40" s="5">
        <f t="shared" si="2"/>
        <v>33.326000000000001</v>
      </c>
      <c r="P40" s="6" t="s">
        <v>99</v>
      </c>
    </row>
    <row r="41" spans="1:16">
      <c r="A41" s="2" t="s">
        <v>133</v>
      </c>
      <c r="B41" s="2" t="s">
        <v>134</v>
      </c>
      <c r="C41" s="3">
        <v>46205</v>
      </c>
      <c r="D41" s="2" t="s">
        <v>27</v>
      </c>
      <c r="E41" s="2" t="s">
        <v>28</v>
      </c>
      <c r="F41" s="2" t="s">
        <v>29</v>
      </c>
      <c r="G41" s="2" t="s">
        <v>89</v>
      </c>
      <c r="H41" s="4">
        <v>15</v>
      </c>
      <c r="I41" s="4">
        <v>4</v>
      </c>
      <c r="J41" s="5">
        <v>0.55000000000000004</v>
      </c>
      <c r="K41" s="2" t="s">
        <v>22</v>
      </c>
      <c r="L41" s="2" t="s">
        <v>65</v>
      </c>
      <c r="M41" s="5">
        <f t="shared" si="0"/>
        <v>2.2000000000000002</v>
      </c>
      <c r="N41" s="5">
        <f t="shared" si="1"/>
        <v>0</v>
      </c>
      <c r="O41" s="5">
        <f t="shared" si="2"/>
        <v>0</v>
      </c>
      <c r="P41" s="6" t="s">
        <v>24</v>
      </c>
    </row>
  </sheetData>
  <conditionalFormatting sqref="L2:L41">
    <cfRule type="expression" dxfId="2" priority="1">
      <formula>L2="Approved"</formula>
    </cfRule>
    <cfRule type="expression" dxfId="1" priority="2">
      <formula>L2="Pending"</formula>
    </cfRule>
    <cfRule type="expression" dxfId="0" priority="3">
      <formula>L2="Rejected"</formula>
    </cfRule>
  </conditionalFormatting>
  <dataValidations count="1">
    <dataValidation type="list" sqref="L2:L41" xr:uid="{DC08B2AE-91A1-406E-911E-A6AB4427DA9B}">
      <formula1>"Approved,Pending,Rejected"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FD87-BB96-4516-9DCE-0CC391FA6CE1}">
  <dimension ref="A3:Q27"/>
  <sheetViews>
    <sheetView topLeftCell="A3" zoomScale="64" zoomScaleNormal="80" workbookViewId="0">
      <selection activeCell="B6" sqref="B6"/>
    </sheetView>
  </sheetViews>
  <sheetFormatPr defaultRowHeight="14.5"/>
  <cols>
    <col min="1" max="1" width="33.36328125" bestFit="1" customWidth="1"/>
    <col min="2" max="2" width="22" bestFit="1" customWidth="1"/>
    <col min="3" max="3" width="27.90625" bestFit="1" customWidth="1"/>
    <col min="5" max="5" width="16.1796875" bestFit="1" customWidth="1"/>
    <col min="6" max="6" width="16.81640625" bestFit="1" customWidth="1"/>
    <col min="7" max="7" width="13.36328125" bestFit="1" customWidth="1"/>
    <col min="8" max="8" width="21.7265625" bestFit="1" customWidth="1"/>
    <col min="9" max="9" width="22.453125" bestFit="1" customWidth="1"/>
    <col min="10" max="10" width="8.08984375" bestFit="1" customWidth="1"/>
    <col min="11" max="11" width="10.7265625" bestFit="1" customWidth="1"/>
    <col min="16" max="16" width="13.1796875" bestFit="1" customWidth="1"/>
    <col min="17" max="17" width="16.81640625" bestFit="1" customWidth="1"/>
  </cols>
  <sheetData>
    <row r="3" spans="1:17">
      <c r="B3" s="7"/>
    </row>
    <row r="4" spans="1:17">
      <c r="B4" s="9"/>
      <c r="E4" s="8" t="s">
        <v>142</v>
      </c>
      <c r="F4" t="s">
        <v>135</v>
      </c>
    </row>
    <row r="5" spans="1:17">
      <c r="A5" s="13"/>
      <c r="B5" s="13"/>
      <c r="C5" t="s">
        <v>147</v>
      </c>
      <c r="E5" s="10" t="s">
        <v>40</v>
      </c>
      <c r="F5" s="7">
        <v>28</v>
      </c>
    </row>
    <row r="6" spans="1:17">
      <c r="A6" s="12" t="s">
        <v>136</v>
      </c>
      <c r="B6" s="17">
        <f>GETPIVOTDATA("Order ID",$A$23)/GETPIVOTDATA("Order ID",$C$5)*100</f>
        <v>62.5</v>
      </c>
      <c r="C6">
        <v>40</v>
      </c>
      <c r="E6" s="10" t="s">
        <v>31</v>
      </c>
      <c r="F6" s="7">
        <v>28</v>
      </c>
      <c r="P6" s="8" t="s">
        <v>139</v>
      </c>
      <c r="Q6" t="s">
        <v>144</v>
      </c>
    </row>
    <row r="7" spans="1:17">
      <c r="A7" s="11"/>
      <c r="B7" s="11"/>
      <c r="E7" s="10" t="s">
        <v>64</v>
      </c>
      <c r="F7" s="7">
        <v>25</v>
      </c>
      <c r="P7" s="10" t="s">
        <v>19</v>
      </c>
      <c r="Q7" s="9">
        <v>202.22649999999999</v>
      </c>
    </row>
    <row r="8" spans="1:17">
      <c r="A8" s="12" t="s">
        <v>137</v>
      </c>
      <c r="B8" s="14">
        <f>GETPIVOTDATA("Net Refund",$C$13)/COUNTIF(Dataset!L2:L40,"Approved")</f>
        <v>183.82918000000001</v>
      </c>
      <c r="E8" s="10" t="s">
        <v>98</v>
      </c>
      <c r="F8" s="7">
        <v>25</v>
      </c>
      <c r="P8" s="10" t="s">
        <v>45</v>
      </c>
      <c r="Q8" s="9">
        <v>3363.5034999999998</v>
      </c>
    </row>
    <row r="9" spans="1:17">
      <c r="A9" s="11"/>
      <c r="B9" s="11"/>
      <c r="E9" s="10" t="s">
        <v>22</v>
      </c>
      <c r="F9" s="7">
        <v>22</v>
      </c>
      <c r="P9" s="10" t="s">
        <v>37</v>
      </c>
      <c r="Q9" s="9">
        <v>533.69100000000003</v>
      </c>
    </row>
    <row r="10" spans="1:17">
      <c r="E10" s="10" t="s">
        <v>138</v>
      </c>
      <c r="F10" s="7">
        <v>128</v>
      </c>
      <c r="P10" s="10" t="s">
        <v>56</v>
      </c>
      <c r="Q10" s="9">
        <v>454.63200000000006</v>
      </c>
    </row>
    <row r="11" spans="1:17">
      <c r="P11" s="10" t="s">
        <v>28</v>
      </c>
      <c r="Q11" s="9">
        <v>41.676499999999997</v>
      </c>
    </row>
    <row r="12" spans="1:17">
      <c r="A12" s="15"/>
      <c r="P12" s="10" t="s">
        <v>138</v>
      </c>
      <c r="Q12" s="9">
        <v>4595.7294999999995</v>
      </c>
    </row>
    <row r="13" spans="1:17">
      <c r="A13" s="14">
        <f>GETPIVOTDATA("Net Refund",$C$13)/GETPIVOTDATA("Order ID",$A$23)</f>
        <v>183.82918000000001</v>
      </c>
      <c r="C13" t="s">
        <v>144</v>
      </c>
    </row>
    <row r="14" spans="1:17">
      <c r="A14" s="16"/>
      <c r="C14" s="9">
        <v>4595.7295000000004</v>
      </c>
    </row>
    <row r="15" spans="1:17">
      <c r="B15" t="s">
        <v>135</v>
      </c>
    </row>
    <row r="16" spans="1:17">
      <c r="B16" s="7">
        <v>128</v>
      </c>
    </row>
    <row r="20" spans="1:17">
      <c r="E20" s="8" t="s">
        <v>11</v>
      </c>
      <c r="F20" t="s">
        <v>143</v>
      </c>
    </row>
    <row r="21" spans="1:17">
      <c r="A21" s="8" t="s">
        <v>11</v>
      </c>
      <c r="B21" t="s">
        <v>32</v>
      </c>
      <c r="E21" s="10" t="s">
        <v>32</v>
      </c>
      <c r="F21">
        <v>25</v>
      </c>
      <c r="P21" s="8" t="s">
        <v>140</v>
      </c>
      <c r="Q21" t="s">
        <v>141</v>
      </c>
    </row>
    <row r="22" spans="1:17">
      <c r="E22" s="10" t="s">
        <v>23</v>
      </c>
      <c r="F22">
        <v>10</v>
      </c>
      <c r="P22" s="10" t="s">
        <v>29</v>
      </c>
      <c r="Q22" s="7">
        <v>38</v>
      </c>
    </row>
    <row r="23" spans="1:17">
      <c r="A23" t="s">
        <v>146</v>
      </c>
      <c r="E23" s="10" t="s">
        <v>65</v>
      </c>
      <c r="F23">
        <v>5</v>
      </c>
      <c r="P23" s="10" t="s">
        <v>61</v>
      </c>
      <c r="Q23" s="7">
        <v>26</v>
      </c>
    </row>
    <row r="24" spans="1:17">
      <c r="A24">
        <v>25</v>
      </c>
      <c r="E24" s="10" t="s">
        <v>138</v>
      </c>
      <c r="F24">
        <v>40</v>
      </c>
      <c r="P24" s="10" t="s">
        <v>46</v>
      </c>
      <c r="Q24" s="7">
        <v>25</v>
      </c>
    </row>
    <row r="25" spans="1:17">
      <c r="P25" s="10" t="s">
        <v>20</v>
      </c>
      <c r="Q25" s="7">
        <v>25</v>
      </c>
    </row>
    <row r="26" spans="1:17">
      <c r="P26" s="10" t="s">
        <v>38</v>
      </c>
      <c r="Q26" s="7">
        <v>14</v>
      </c>
    </row>
    <row r="27" spans="1:17">
      <c r="P27" s="10" t="s">
        <v>138</v>
      </c>
      <c r="Q27" s="7">
        <v>128</v>
      </c>
    </row>
  </sheetData>
  <pageMargins left="0.7" right="0.7" top="0.75" bottom="0.75" header="0.3" footer="0.3"/>
  <pageSetup orientation="portrait" verticalDpi="0"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3FED6-9465-4EFB-8B6A-C262FEF7A32A}">
  <dimension ref="A1"/>
  <sheetViews>
    <sheetView showGridLines="0" tabSelected="1" zoomScale="47" zoomScaleNormal="47" workbookViewId="0"/>
  </sheetViews>
  <sheetFormatPr defaultRowHeight="14.5"/>
  <sheetData>
    <row r="1" spans="1:1">
      <c r="A1" t="s">
        <v>145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taple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Abdishakur Dhicisow</dc:creator>
  <cp:lastModifiedBy>Ahmed Abshir</cp:lastModifiedBy>
  <dcterms:created xsi:type="dcterms:W3CDTF">2026-07-29T11:20:49Z</dcterms:created>
  <dcterms:modified xsi:type="dcterms:W3CDTF">2026-10-15T11:56:23Z</dcterms:modified>
</cp:coreProperties>
</file>